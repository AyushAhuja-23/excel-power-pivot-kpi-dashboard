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hidePivotFieldList="1"/>
  <xr:revisionPtr revIDLastSave="0" documentId="13_ncr:1_{DAD0D863-F21F-40D7-B468-A3E870E1FC0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aw Data" sheetId="7" r:id="rId1"/>
    <sheet name="Clean Data" sheetId="8" r:id="rId2"/>
    <sheet name="Pivot" sheetId="10" r:id="rId3"/>
    <sheet name="Budget Analysis" sheetId="9" r:id="rId4"/>
    <sheet name="Dashboard" sheetId="11" r:id="rId5"/>
  </sheets>
  <definedNames>
    <definedName name="MonthlyChart_Data1">OFFSET(#REF!,0,0,1,MonthsWithActual)</definedName>
    <definedName name="MonthsWithActual">COUNTIF(#REF!,"&lt;&gt;"&amp;0)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1" l="1"/>
  <c r="H14" i="11"/>
  <c r="H15" i="11"/>
  <c r="H16" i="11"/>
  <c r="H17" i="11"/>
  <c r="J13" i="11"/>
  <c r="J14" i="11"/>
  <c r="J15" i="11"/>
  <c r="J16" i="11"/>
  <c r="J17" i="11"/>
  <c r="L13" i="11"/>
  <c r="L14" i="11"/>
  <c r="L15" i="11"/>
  <c r="L16" i="11"/>
  <c r="L17" i="11"/>
  <c r="L12" i="11"/>
  <c r="J12" i="11"/>
  <c r="H12" i="11"/>
  <c r="F13" i="11"/>
  <c r="F14" i="11"/>
  <c r="F15" i="11"/>
  <c r="F16" i="11"/>
  <c r="F17" i="11"/>
  <c r="F12" i="11"/>
  <c r="D13" i="11"/>
  <c r="D14" i="11"/>
  <c r="D15" i="11"/>
  <c r="D16" i="11"/>
  <c r="D17" i="11"/>
  <c r="D12" i="11"/>
  <c r="B13" i="11"/>
  <c r="B14" i="11"/>
  <c r="B15" i="11"/>
  <c r="B16" i="11"/>
  <c r="B17" i="11"/>
  <c r="B12" i="11"/>
  <c r="K6" i="11"/>
  <c r="H6" i="11"/>
  <c r="E6" i="11"/>
  <c r="B6" i="11"/>
  <c r="C84" i="9" l="1"/>
  <c r="B84" i="9"/>
  <c r="D79" i="9"/>
  <c r="E79" i="9"/>
  <c r="F79" i="9" s="1"/>
  <c r="D80" i="9"/>
  <c r="E80" i="9"/>
  <c r="F80" i="9"/>
  <c r="D81" i="9"/>
  <c r="E81" i="9"/>
  <c r="F81" i="9" s="1"/>
  <c r="D82" i="9"/>
  <c r="E82" i="9"/>
  <c r="F82" i="9" s="1"/>
  <c r="D83" i="9"/>
  <c r="E83" i="9"/>
  <c r="F83" i="9"/>
  <c r="C83" i="9"/>
  <c r="B83" i="9"/>
  <c r="C82" i="9"/>
  <c r="B82" i="9"/>
  <c r="C81" i="9"/>
  <c r="B81" i="9"/>
  <c r="C80" i="9"/>
  <c r="B80" i="9"/>
  <c r="C79" i="9"/>
  <c r="B79" i="9"/>
  <c r="F78" i="9"/>
  <c r="E78" i="9"/>
  <c r="D78" i="9"/>
  <c r="C78" i="9"/>
  <c r="B78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3" i="9"/>
  <c r="E27" i="9"/>
  <c r="F27" i="9" s="1"/>
  <c r="E28" i="9"/>
  <c r="F28" i="9"/>
  <c r="E29" i="9"/>
  <c r="F29" i="9"/>
  <c r="E30" i="9"/>
  <c r="F30" i="9"/>
  <c r="E31" i="9"/>
  <c r="F31" i="9"/>
  <c r="E32" i="9"/>
  <c r="F32" i="9" s="1"/>
  <c r="E33" i="9"/>
  <c r="F33" i="9" s="1"/>
  <c r="E34" i="9"/>
  <c r="F34" i="9" s="1"/>
  <c r="E35" i="9"/>
  <c r="F35" i="9" s="1"/>
  <c r="E36" i="9"/>
  <c r="F36" i="9"/>
  <c r="E37" i="9"/>
  <c r="F37" i="9"/>
  <c r="E38" i="9"/>
  <c r="F38" i="9"/>
  <c r="E39" i="9"/>
  <c r="F39" i="9"/>
  <c r="E40" i="9"/>
  <c r="F40" i="9" s="1"/>
  <c r="E41" i="9"/>
  <c r="F41" i="9" s="1"/>
  <c r="E42" i="9"/>
  <c r="F42" i="9" s="1"/>
  <c r="E43" i="9"/>
  <c r="F43" i="9" s="1"/>
  <c r="E44" i="9"/>
  <c r="F44" i="9"/>
  <c r="E45" i="9"/>
  <c r="F45" i="9"/>
  <c r="E46" i="9"/>
  <c r="F46" i="9"/>
  <c r="E47" i="9"/>
  <c r="F47" i="9"/>
  <c r="E48" i="9"/>
  <c r="F48" i="9" s="1"/>
  <c r="E49" i="9"/>
  <c r="F49" i="9" s="1"/>
  <c r="E50" i="9"/>
  <c r="F50" i="9" s="1"/>
  <c r="E51" i="9"/>
  <c r="F51" i="9" s="1"/>
  <c r="E52" i="9"/>
  <c r="F52" i="9"/>
  <c r="E53" i="9"/>
  <c r="F53" i="9"/>
  <c r="E54" i="9"/>
  <c r="F54" i="9"/>
  <c r="E55" i="9"/>
  <c r="F55" i="9"/>
  <c r="E56" i="9"/>
  <c r="F56" i="9" s="1"/>
  <c r="E57" i="9"/>
  <c r="F57" i="9" s="1"/>
  <c r="E58" i="9"/>
  <c r="F58" i="9" s="1"/>
  <c r="E59" i="9"/>
  <c r="F59" i="9" s="1"/>
  <c r="E60" i="9"/>
  <c r="F60" i="9"/>
  <c r="E61" i="9"/>
  <c r="F61" i="9"/>
  <c r="E62" i="9"/>
  <c r="F62" i="9"/>
  <c r="E63" i="9"/>
  <c r="F63" i="9"/>
  <c r="E64" i="9"/>
  <c r="F64" i="9" s="1"/>
  <c r="E65" i="9"/>
  <c r="F65" i="9" s="1"/>
  <c r="E66" i="9"/>
  <c r="F66" i="9" s="1"/>
  <c r="E67" i="9"/>
  <c r="F67" i="9" s="1"/>
  <c r="E68" i="9"/>
  <c r="F68" i="9"/>
  <c r="E69" i="9"/>
  <c r="F69" i="9"/>
  <c r="E70" i="9"/>
  <c r="F70" i="9"/>
  <c r="E71" i="9"/>
  <c r="F71" i="9"/>
  <c r="E72" i="9"/>
  <c r="F72" i="9"/>
  <c r="E73" i="9"/>
  <c r="F73" i="9"/>
  <c r="E74" i="9"/>
  <c r="F74" i="9" s="1"/>
  <c r="D64" i="9"/>
  <c r="D65" i="9"/>
  <c r="D66" i="9"/>
  <c r="D67" i="9"/>
  <c r="D68" i="9"/>
  <c r="D69" i="9"/>
  <c r="D70" i="9"/>
  <c r="D71" i="9"/>
  <c r="D72" i="9"/>
  <c r="D73" i="9"/>
  <c r="D74" i="9"/>
  <c r="D63" i="9"/>
  <c r="D52" i="9"/>
  <c r="D53" i="9"/>
  <c r="D54" i="9"/>
  <c r="D55" i="9"/>
  <c r="D56" i="9"/>
  <c r="D57" i="9"/>
  <c r="D58" i="9"/>
  <c r="D59" i="9"/>
  <c r="D60" i="9"/>
  <c r="D61" i="9"/>
  <c r="D62" i="9"/>
  <c r="D51" i="9"/>
  <c r="D40" i="9"/>
  <c r="D41" i="9"/>
  <c r="D42" i="9"/>
  <c r="D43" i="9"/>
  <c r="D44" i="9"/>
  <c r="D45" i="9"/>
  <c r="D46" i="9"/>
  <c r="D47" i="9"/>
  <c r="D48" i="9"/>
  <c r="D49" i="9"/>
  <c r="D50" i="9"/>
  <c r="D39" i="9"/>
  <c r="D28" i="9"/>
  <c r="D29" i="9"/>
  <c r="D30" i="9"/>
  <c r="D31" i="9"/>
  <c r="D32" i="9"/>
  <c r="D33" i="9"/>
  <c r="D34" i="9"/>
  <c r="D35" i="9"/>
  <c r="D36" i="9"/>
  <c r="D37" i="9"/>
  <c r="D38" i="9"/>
  <c r="D27" i="9"/>
  <c r="C64" i="9"/>
  <c r="C65" i="9"/>
  <c r="C66" i="9"/>
  <c r="C67" i="9"/>
  <c r="C68" i="9"/>
  <c r="C69" i="9"/>
  <c r="C70" i="9"/>
  <c r="C71" i="9"/>
  <c r="C72" i="9"/>
  <c r="C73" i="9"/>
  <c r="C74" i="9"/>
  <c r="C63" i="9"/>
  <c r="C52" i="9"/>
  <c r="C53" i="9"/>
  <c r="C54" i="9"/>
  <c r="C55" i="9"/>
  <c r="C56" i="9"/>
  <c r="C57" i="9"/>
  <c r="C58" i="9"/>
  <c r="C59" i="9"/>
  <c r="C60" i="9"/>
  <c r="C61" i="9"/>
  <c r="C62" i="9"/>
  <c r="C51" i="9"/>
  <c r="C40" i="9"/>
  <c r="C41" i="9"/>
  <c r="C42" i="9"/>
  <c r="C43" i="9"/>
  <c r="C44" i="9"/>
  <c r="C45" i="9"/>
  <c r="C46" i="9"/>
  <c r="C47" i="9"/>
  <c r="C48" i="9"/>
  <c r="C49" i="9"/>
  <c r="C50" i="9"/>
  <c r="C39" i="9"/>
  <c r="C28" i="9"/>
  <c r="C29" i="9"/>
  <c r="C30" i="9"/>
  <c r="C31" i="9"/>
  <c r="C32" i="9"/>
  <c r="C33" i="9"/>
  <c r="C34" i="9"/>
  <c r="C35" i="9"/>
  <c r="C36" i="9"/>
  <c r="C37" i="9"/>
  <c r="C38" i="9"/>
  <c r="C27" i="9"/>
  <c r="A64" i="9"/>
  <c r="A65" i="9"/>
  <c r="A66" i="9"/>
  <c r="A67" i="9"/>
  <c r="A68" i="9"/>
  <c r="A69" i="9"/>
  <c r="A70" i="9"/>
  <c r="A71" i="9"/>
  <c r="A72" i="9"/>
  <c r="A73" i="9"/>
  <c r="A74" i="9"/>
  <c r="A63" i="9"/>
  <c r="A62" i="9"/>
  <c r="A52" i="9"/>
  <c r="A53" i="9"/>
  <c r="A54" i="9"/>
  <c r="A55" i="9"/>
  <c r="A56" i="9"/>
  <c r="A57" i="9"/>
  <c r="A58" i="9"/>
  <c r="A59" i="9"/>
  <c r="A60" i="9"/>
  <c r="A61" i="9"/>
  <c r="A51" i="9"/>
  <c r="A40" i="9"/>
  <c r="A41" i="9"/>
  <c r="A42" i="9"/>
  <c r="A43" i="9"/>
  <c r="A44" i="9"/>
  <c r="A45" i="9"/>
  <c r="A46" i="9"/>
  <c r="A47" i="9"/>
  <c r="A48" i="9"/>
  <c r="A49" i="9"/>
  <c r="A50" i="9"/>
  <c r="A39" i="9"/>
  <c r="A28" i="9"/>
  <c r="A29" i="9"/>
  <c r="A30" i="9"/>
  <c r="A31" i="9"/>
  <c r="A32" i="9"/>
  <c r="A33" i="9"/>
  <c r="A34" i="9"/>
  <c r="A35" i="9"/>
  <c r="A36" i="9"/>
  <c r="A37" i="9"/>
  <c r="A38" i="9"/>
  <c r="A27" i="9"/>
  <c r="C16" i="9"/>
  <c r="D16" i="9"/>
  <c r="E16" i="9" s="1"/>
  <c r="F16" i="9" s="1"/>
  <c r="C17" i="9"/>
  <c r="D17" i="9"/>
  <c r="E17" i="9"/>
  <c r="F17" i="9" s="1"/>
  <c r="C18" i="9"/>
  <c r="D18" i="9"/>
  <c r="E18" i="9" s="1"/>
  <c r="F18" i="9" s="1"/>
  <c r="C19" i="9"/>
  <c r="E19" i="9" s="1"/>
  <c r="F19" i="9" s="1"/>
  <c r="D19" i="9"/>
  <c r="C20" i="9"/>
  <c r="D20" i="9"/>
  <c r="E20" i="9" s="1"/>
  <c r="F20" i="9" s="1"/>
  <c r="C21" i="9"/>
  <c r="E21" i="9" s="1"/>
  <c r="F21" i="9" s="1"/>
  <c r="D21" i="9"/>
  <c r="C22" i="9"/>
  <c r="D22" i="9"/>
  <c r="E22" i="9" s="1"/>
  <c r="F22" i="9" s="1"/>
  <c r="C23" i="9"/>
  <c r="E23" i="9" s="1"/>
  <c r="F23" i="9" s="1"/>
  <c r="D23" i="9"/>
  <c r="C24" i="9"/>
  <c r="D24" i="9"/>
  <c r="E24" i="9" s="1"/>
  <c r="F24" i="9" s="1"/>
  <c r="C25" i="9"/>
  <c r="D25" i="9"/>
  <c r="E25" i="9"/>
  <c r="F25" i="9" s="1"/>
  <c r="C26" i="9"/>
  <c r="D26" i="9"/>
  <c r="E26" i="9" s="1"/>
  <c r="F26" i="9" s="1"/>
  <c r="E15" i="9"/>
  <c r="F15" i="9" s="1"/>
  <c r="A25" i="9"/>
  <c r="A26" i="9"/>
  <c r="A16" i="9"/>
  <c r="A17" i="9"/>
  <c r="A18" i="9"/>
  <c r="A19" i="9"/>
  <c r="A20" i="9"/>
  <c r="A21" i="9"/>
  <c r="A22" i="9"/>
  <c r="A23" i="9"/>
  <c r="A24" i="9"/>
  <c r="D15" i="9"/>
  <c r="A15" i="9"/>
  <c r="C15" i="9"/>
  <c r="E4" i="9"/>
  <c r="F4" i="9" s="1"/>
  <c r="E5" i="9"/>
  <c r="F5" i="9"/>
  <c r="E6" i="9"/>
  <c r="F6" i="9"/>
  <c r="E7" i="9"/>
  <c r="F7" i="9"/>
  <c r="E8" i="9"/>
  <c r="F8" i="9"/>
  <c r="E9" i="9"/>
  <c r="F9" i="9"/>
  <c r="E10" i="9"/>
  <c r="F10" i="9"/>
  <c r="E11" i="9"/>
  <c r="F11" i="9"/>
  <c r="E12" i="9"/>
  <c r="F12" i="9"/>
  <c r="E13" i="9"/>
  <c r="F13" i="9"/>
  <c r="E14" i="9"/>
  <c r="F14" i="9"/>
  <c r="F3" i="9"/>
  <c r="E3" i="9"/>
  <c r="D4" i="9"/>
  <c r="D5" i="9"/>
  <c r="D6" i="9"/>
  <c r="D7" i="9"/>
  <c r="D8" i="9"/>
  <c r="D9" i="9"/>
  <c r="D10" i="9"/>
  <c r="D11" i="9"/>
  <c r="D12" i="9"/>
  <c r="D13" i="9"/>
  <c r="D14" i="9"/>
  <c r="D3" i="9"/>
  <c r="C4" i="9"/>
  <c r="C5" i="9"/>
  <c r="C6" i="9"/>
  <c r="C7" i="9"/>
  <c r="C8" i="9"/>
  <c r="C9" i="9"/>
  <c r="C10" i="9"/>
  <c r="C11" i="9"/>
  <c r="C12" i="9"/>
  <c r="C13" i="9"/>
  <c r="C14" i="9"/>
  <c r="C3" i="9"/>
  <c r="A4" i="9"/>
  <c r="A5" i="9"/>
  <c r="A6" i="9"/>
  <c r="A7" i="9"/>
  <c r="A8" i="9"/>
  <c r="A9" i="9"/>
  <c r="A10" i="9"/>
  <c r="A11" i="9"/>
  <c r="A12" i="9"/>
  <c r="A13" i="9"/>
  <c r="A14" i="9"/>
  <c r="A3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" i="8"/>
  <c r="D84" i="9" l="1"/>
  <c r="E84" i="9" s="1"/>
  <c r="F84" i="9" s="1"/>
</calcChain>
</file>

<file path=xl/sharedStrings.xml><?xml version="1.0" encoding="utf-8"?>
<sst xmlns="http://schemas.openxmlformats.org/spreadsheetml/2006/main" count="197" uniqueCount="42">
  <si>
    <t>Month</t>
  </si>
  <si>
    <t>Marketing Costs</t>
  </si>
  <si>
    <t>Travelling Cost</t>
  </si>
  <si>
    <t>Development Costs</t>
  </si>
  <si>
    <t>Training Cost</t>
  </si>
  <si>
    <t>Maintenance Cost</t>
  </si>
  <si>
    <t>Operatinal Costs</t>
  </si>
  <si>
    <t>Actual</t>
  </si>
  <si>
    <t>Budget</t>
  </si>
  <si>
    <t>Expenses</t>
  </si>
  <si>
    <t>Operational Costs</t>
  </si>
  <si>
    <t>Month Number</t>
  </si>
  <si>
    <t>Type</t>
  </si>
  <si>
    <t>Category</t>
  </si>
  <si>
    <t>Variance</t>
  </si>
  <si>
    <t>Variance %</t>
  </si>
  <si>
    <t>Status</t>
  </si>
  <si>
    <t>Row Labels</t>
  </si>
  <si>
    <t>Grand Total</t>
  </si>
  <si>
    <t>Sum of Development Costs</t>
  </si>
  <si>
    <t>Sum of Operational Costs</t>
  </si>
  <si>
    <t>Sum of Marketing Costs</t>
  </si>
  <si>
    <t>Sum of Travelling Cost</t>
  </si>
  <si>
    <t>Sum of Training Cost</t>
  </si>
  <si>
    <t>Sum of Maintenance Cost</t>
  </si>
  <si>
    <t>Annual Budget</t>
  </si>
  <si>
    <t>Annual Actual</t>
  </si>
  <si>
    <t>Annual Variance</t>
  </si>
  <si>
    <t>Total</t>
  </si>
  <si>
    <t>BUDGET TRACKING DASHBOARD</t>
  </si>
  <si>
    <t>Budget vs Actual Analysis - 2023 - 6 Cost Categories</t>
  </si>
  <si>
    <t>TOTAL BUDGET</t>
  </si>
  <si>
    <t>full year 2023</t>
  </si>
  <si>
    <t>TOTAL ACTUAL</t>
  </si>
  <si>
    <t>TOTAL VARIANCE</t>
  </si>
  <si>
    <t>vs annual budget</t>
  </si>
  <si>
    <t>VARIANCE %</t>
  </si>
  <si>
    <t>budget compliance</t>
  </si>
  <si>
    <t>ANNUAL SUMMARY BY CATEGORY</t>
  </si>
  <si>
    <t>KEY INSIGHTS</t>
  </si>
  <si>
    <t>Overall budget compliance at 97.5% - total underspend of $44,020. Training Cost shows the largest deviation at -20.9%, likely due to cancelled or deferred sessions. Travelling Cost also underperformed at -14.0%. Operational and Maintenance costs exceeded budget marginally. Development Costs, the largest category at 76% of total budget, remained tightly controlled at -1.9% variance.</t>
  </si>
  <si>
    <t>Data source: Financial Dataset - Expenses Budget vs Actual · Kaggle · saharsyed · kaggle.com/datasets/saharsyed/financial-dataset-expenses-budget-vs-actual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</si>
</sst>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&quot;$&quot;* #,##0_ ;_ &quot;$&quot;* \-#,##0_ ;_ &quot;$&quot;* &quot;-&quot;_ ;_ @_ "/>
    <numFmt numFmtId="165" formatCode="mmm/yyyy"/>
  </numFmts>
  <fonts count="10" x14ac:knownFonts="1">
    <font>
      <sz val="11"/>
      <color theme="1"/>
      <name val="Palatino Linotype"/>
      <family val="2"/>
      <scheme val="minor"/>
    </font>
    <font>
      <sz val="11"/>
      <color theme="1"/>
      <name val="Palatino Linotype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6"/>
      <color theme="0"/>
      <name val="Arial"/>
      <family val="2"/>
    </font>
    <font>
      <i/>
      <sz val="12"/>
      <color theme="1"/>
      <name val="Arial"/>
      <family val="2"/>
    </font>
    <font>
      <sz val="24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E75B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165" fontId="2" fillId="0" borderId="0" xfId="0" applyNumberFormat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2" fillId="0" borderId="0" xfId="2" applyNumberFormat="1" applyFont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64" fontId="6" fillId="0" borderId="1" xfId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0" fontId="6" fillId="0" borderId="1" xfId="1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0" fontId="9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/>
    </xf>
  </cellXfs>
  <cellStyles count="3">
    <cellStyle name="Currency [0]" xfId="1" builtinId="7"/>
    <cellStyle name="Normal" xfId="0" builtinId="0"/>
    <cellStyle name="Percent" xfId="2" builtinId="5"/>
  </cellStyles>
  <dxfs count="27">
    <dxf>
      <font>
        <color theme="4" tint="0.39994506668294322"/>
      </font>
      <fill>
        <patternFill>
          <bgColor rgb="FFC6EFCE"/>
        </patternFill>
      </fill>
    </dxf>
    <dxf>
      <font>
        <color theme="2" tint="-0.499984740745262"/>
      </font>
      <fill>
        <patternFill>
          <bgColor rgb="FFDDEBF7"/>
        </patternFill>
      </fill>
    </dxf>
    <dxf>
      <font>
        <color rgb="FFFF0000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border>
        <bottom style="thin">
          <color theme="6"/>
        </bottom>
      </border>
    </dxf>
    <dxf>
      <font>
        <color theme="6" tint="-0.249977111117893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ableStyleLight4 2" pivot="0" count="7" xr9:uid="{00000000-0011-0000-FFFF-FFFF0000000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</tableStyles>
  <colors>
    <mruColors>
      <color rgb="FF375623"/>
      <color rgb="FF2E75B6"/>
      <color rgb="FFFFC7CE"/>
      <color rgb="FFDDEBF7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Budget vs Actual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'Budget Analysis'!$B$77</c:f>
              <c:strCache>
                <c:ptCount val="1"/>
                <c:pt idx="0">
                  <c:v>Annual Budget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'Budget Analysis'!$A$78:$A$83</c:f>
              <c:strCache>
                <c:ptCount val="6"/>
                <c:pt idx="0">
                  <c:v>Development Costs</c:v>
                </c:pt>
                <c:pt idx="1">
                  <c:v>Operational Costs</c:v>
                </c:pt>
                <c:pt idx="2">
                  <c:v>Marketing Costs</c:v>
                </c:pt>
                <c:pt idx="3">
                  <c:v>Travelling Cost</c:v>
                </c:pt>
                <c:pt idx="4">
                  <c:v>Training Cost</c:v>
                </c:pt>
                <c:pt idx="5">
                  <c:v>Maintenance Cost</c:v>
                </c:pt>
              </c:strCache>
            </c:strRef>
          </c:cat>
          <c:val>
            <c:numRef>
              <c:f>'Budget Analysis'!$B$78:$B$83</c:f>
              <c:numCache>
                <c:formatCode>General</c:formatCode>
                <c:ptCount val="6"/>
                <c:pt idx="0">
                  <c:v>1340200</c:v>
                </c:pt>
                <c:pt idx="1">
                  <c:v>165000</c:v>
                </c:pt>
                <c:pt idx="2">
                  <c:v>75000</c:v>
                </c:pt>
                <c:pt idx="3">
                  <c:v>48000</c:v>
                </c:pt>
                <c:pt idx="4">
                  <c:v>86000</c:v>
                </c:pt>
                <c:pt idx="5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9-4661-A3DE-6860A1FEFD96}"/>
            </c:ext>
          </c:extLst>
        </c:ser>
        <c:ser>
          <c:idx val="1"/>
          <c:order val="1"/>
          <c:tx>
            <c:strRef>
              <c:f>'Budget Analysis'!$C$77</c:f>
              <c:strCache>
                <c:ptCount val="1"/>
                <c:pt idx="0">
                  <c:v>Annual Actual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'Budget Analysis'!$A$78:$A$83</c:f>
              <c:strCache>
                <c:ptCount val="6"/>
                <c:pt idx="0">
                  <c:v>Development Costs</c:v>
                </c:pt>
                <c:pt idx="1">
                  <c:v>Operational Costs</c:v>
                </c:pt>
                <c:pt idx="2">
                  <c:v>Marketing Costs</c:v>
                </c:pt>
                <c:pt idx="3">
                  <c:v>Travelling Cost</c:v>
                </c:pt>
                <c:pt idx="4">
                  <c:v>Training Cost</c:v>
                </c:pt>
                <c:pt idx="5">
                  <c:v>Maintenance Cost</c:v>
                </c:pt>
              </c:strCache>
            </c:strRef>
          </c:cat>
          <c:val>
            <c:numRef>
              <c:f>'Budget Analysis'!$C$78:$C$83</c:f>
              <c:numCache>
                <c:formatCode>General</c:formatCode>
                <c:ptCount val="6"/>
                <c:pt idx="0">
                  <c:v>1314635</c:v>
                </c:pt>
                <c:pt idx="1">
                  <c:v>174082</c:v>
                </c:pt>
                <c:pt idx="2">
                  <c:v>69676</c:v>
                </c:pt>
                <c:pt idx="3">
                  <c:v>41300</c:v>
                </c:pt>
                <c:pt idx="4">
                  <c:v>68000</c:v>
                </c:pt>
                <c:pt idx="5">
                  <c:v>50487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9-4661-A3DE-6860A1FEF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6599055"/>
        <c:axId val="536599535"/>
      </c:barChart>
      <c:catAx>
        <c:axId val="536599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599535"/>
        <c:crosses val="autoZero"/>
        <c:auto val="1"/>
        <c:lblAlgn val="ctr"/>
        <c:lblOffset val="100"/>
        <c:noMultiLvlLbl val="0"/>
      </c:catAx>
      <c:valAx>
        <c:axId val="536599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 i="0" u="none" strike="noStrike" baseline="0"/>
                  <a:t>USD Thousands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&quot;$&quot;#,##0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59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4277D2-3140-4169-890F-CEC74E5E1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04.760817245369" createdVersion="8" refreshedVersion="8" minRefreshableVersion="3" recordCount="24" xr:uid="{390935FA-53A4-448F-B3C1-BE8E2CA66F63}">
  <cacheSource type="worksheet">
    <worksheetSource ref="A1:I25" sheet="Clean Data"/>
  </cacheSource>
  <cacheFields count="11">
    <cacheField name="Month" numFmtId="165">
      <sharedItems containsSemiMixedTypes="0" containsNonDate="0" containsDate="1" containsString="0" minDate="2023-01-01T00:00:00" maxDate="2023-12-02T00:00:00" count="12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</sharedItems>
      <fieldGroup par="10"/>
    </cacheField>
    <cacheField name="Month Number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evelopment Costs" numFmtId="0">
      <sharedItems containsSemiMixedTypes="0" containsString="0" containsNumber="1" containsInteger="1" minValue="102000" maxValue="118000"/>
    </cacheField>
    <cacheField name="Operational Costs" numFmtId="0">
      <sharedItems containsSemiMixedTypes="0" containsString="0" containsNumber="1" containsInteger="1" minValue="10900" maxValue="17800" count="14">
        <n v="12000"/>
        <n v="15000"/>
        <n v="15600"/>
        <n v="11698"/>
        <n v="13453"/>
        <n v="15790"/>
        <n v="11508"/>
        <n v="15500"/>
        <n v="14333"/>
        <n v="16500"/>
        <n v="10900"/>
        <n v="17800"/>
        <n v="16800"/>
        <n v="14200"/>
      </sharedItems>
    </cacheField>
    <cacheField name="Marketing Costs" numFmtId="0">
      <sharedItems containsSemiMixedTypes="0" containsString="0" containsNumber="1" containsInteger="1" minValue="2900" maxValue="11400" count="16">
        <n v="10000"/>
        <n v="5000"/>
        <n v="4000"/>
        <n v="8000"/>
        <n v="6000"/>
        <n v="3000"/>
        <n v="7000"/>
        <n v="9820"/>
        <n v="3556"/>
        <n v="6800"/>
        <n v="11400"/>
        <n v="2900"/>
        <n v="3500"/>
        <n v="5800"/>
        <n v="9800"/>
        <n v="7200"/>
      </sharedItems>
    </cacheField>
    <cacheField name="Travelling Cost" numFmtId="0">
      <sharedItems containsSemiMixedTypes="0" containsString="0" containsNumber="1" containsInteger="1" minValue="1200" maxValue="5300" count="13">
        <n v="4000"/>
        <n v="3200"/>
        <n v="2300"/>
        <n v="5300"/>
        <n v="2200"/>
        <n v="1200"/>
        <n v="4200"/>
        <n v="2900"/>
        <n v="4300"/>
        <n v="2700"/>
        <n v="3700"/>
        <n v="4500"/>
        <n v="4800"/>
      </sharedItems>
    </cacheField>
    <cacheField name="Training Cost" numFmtId="0">
      <sharedItems containsSemiMixedTypes="0" containsString="0" containsNumber="1" containsInteger="1" minValue="0" maxValue="8000" count="8">
        <n v="6000"/>
        <n v="8000"/>
        <n v="5500"/>
        <n v="6500"/>
        <n v="0"/>
        <n v="4000"/>
        <n v="7500"/>
        <n v="7000"/>
      </sharedItems>
    </cacheField>
    <cacheField name="Maintenance Cost" numFmtId="0">
      <sharedItems containsSemiMixedTypes="0" containsString="0" containsNumber="1" containsInteger="1" minValue="1398" maxValue="7800" count="12">
        <n v="4000"/>
        <n v="3200"/>
        <n v="2800"/>
        <n v="7800"/>
        <n v="5700"/>
        <n v="4600"/>
        <n v="5500"/>
        <n v="3100"/>
        <n v="2400"/>
        <n v="1398"/>
        <n v="5399"/>
        <n v="4590"/>
      </sharedItems>
    </cacheField>
    <cacheField name="Type" numFmtId="0">
      <sharedItems count="2">
        <s v="Budget"/>
        <s v="Actual"/>
      </sharedItems>
    </cacheField>
    <cacheField name="Days (Month)" numFmtId="0" databaseField="0">
      <fieldGroup base="0">
        <rangePr groupBy="days" startDate="2023-01-01T00:00:00" endDate="2023-12-02T00:00:00"/>
        <groupItems count="368">
          <s v="&lt;01-01-2023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-12-2023"/>
        </groupItems>
      </fieldGroup>
    </cacheField>
    <cacheField name="Months (Month)" numFmtId="0" databaseField="0">
      <fieldGroup base="0">
        <rangePr groupBy="months" startDate="2023-01-01T00:00:00" endDate="2023-12-02T00:00:00"/>
        <groupItems count="14">
          <s v="&lt;01-01-2023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07000"/>
    <x v="0"/>
    <x v="0"/>
    <x v="0"/>
    <x v="0"/>
    <x v="0"/>
    <x v="0"/>
  </r>
  <r>
    <x v="1"/>
    <x v="1"/>
    <n v="107000"/>
    <x v="0"/>
    <x v="1"/>
    <x v="0"/>
    <x v="0"/>
    <x v="0"/>
    <x v="0"/>
  </r>
  <r>
    <x v="2"/>
    <x v="2"/>
    <n v="108000"/>
    <x v="0"/>
    <x v="1"/>
    <x v="0"/>
    <x v="0"/>
    <x v="0"/>
    <x v="0"/>
  </r>
  <r>
    <x v="3"/>
    <x v="3"/>
    <n v="107000"/>
    <x v="0"/>
    <x v="0"/>
    <x v="0"/>
    <x v="0"/>
    <x v="0"/>
    <x v="0"/>
  </r>
  <r>
    <x v="4"/>
    <x v="4"/>
    <n v="111100"/>
    <x v="0"/>
    <x v="2"/>
    <x v="0"/>
    <x v="0"/>
    <x v="0"/>
    <x v="0"/>
  </r>
  <r>
    <x v="5"/>
    <x v="5"/>
    <n v="111100"/>
    <x v="1"/>
    <x v="2"/>
    <x v="0"/>
    <x v="1"/>
    <x v="0"/>
    <x v="0"/>
  </r>
  <r>
    <x v="6"/>
    <x v="6"/>
    <n v="110000"/>
    <x v="1"/>
    <x v="3"/>
    <x v="0"/>
    <x v="1"/>
    <x v="0"/>
    <x v="0"/>
  </r>
  <r>
    <x v="7"/>
    <x v="7"/>
    <n v="117000"/>
    <x v="1"/>
    <x v="4"/>
    <x v="0"/>
    <x v="1"/>
    <x v="0"/>
    <x v="0"/>
  </r>
  <r>
    <x v="8"/>
    <x v="8"/>
    <n v="118000"/>
    <x v="1"/>
    <x v="5"/>
    <x v="0"/>
    <x v="1"/>
    <x v="0"/>
    <x v="0"/>
  </r>
  <r>
    <x v="9"/>
    <x v="9"/>
    <n v="110000"/>
    <x v="1"/>
    <x v="0"/>
    <x v="0"/>
    <x v="1"/>
    <x v="0"/>
    <x v="0"/>
  </r>
  <r>
    <x v="10"/>
    <x v="10"/>
    <n v="117000"/>
    <x v="1"/>
    <x v="5"/>
    <x v="0"/>
    <x v="1"/>
    <x v="0"/>
    <x v="0"/>
  </r>
  <r>
    <x v="11"/>
    <x v="11"/>
    <n v="117000"/>
    <x v="1"/>
    <x v="6"/>
    <x v="0"/>
    <x v="1"/>
    <x v="0"/>
    <x v="0"/>
  </r>
  <r>
    <x v="0"/>
    <x v="0"/>
    <n v="106950"/>
    <x v="2"/>
    <x v="7"/>
    <x v="1"/>
    <x v="2"/>
    <x v="1"/>
    <x v="1"/>
  </r>
  <r>
    <x v="1"/>
    <x v="1"/>
    <n v="109000"/>
    <x v="3"/>
    <x v="8"/>
    <x v="2"/>
    <x v="3"/>
    <x v="2"/>
    <x v="1"/>
  </r>
  <r>
    <x v="2"/>
    <x v="2"/>
    <n v="108500"/>
    <x v="4"/>
    <x v="9"/>
    <x v="3"/>
    <x v="4"/>
    <x v="3"/>
    <x v="1"/>
  </r>
  <r>
    <x v="3"/>
    <x v="3"/>
    <n v="109900"/>
    <x v="5"/>
    <x v="10"/>
    <x v="4"/>
    <x v="5"/>
    <x v="4"/>
    <x v="1"/>
  </r>
  <r>
    <x v="4"/>
    <x v="4"/>
    <n v="111760"/>
    <x v="6"/>
    <x v="11"/>
    <x v="5"/>
    <x v="0"/>
    <x v="5"/>
    <x v="1"/>
  </r>
  <r>
    <x v="5"/>
    <x v="5"/>
    <n v="111760"/>
    <x v="7"/>
    <x v="12"/>
    <x v="6"/>
    <x v="3"/>
    <x v="6"/>
    <x v="1"/>
  </r>
  <r>
    <x v="6"/>
    <x v="6"/>
    <n v="102000"/>
    <x v="8"/>
    <x v="5"/>
    <x v="7"/>
    <x v="6"/>
    <x v="0"/>
    <x v="1"/>
  </r>
  <r>
    <x v="7"/>
    <x v="7"/>
    <n v="108100"/>
    <x v="9"/>
    <x v="13"/>
    <x v="8"/>
    <x v="0"/>
    <x v="7"/>
    <x v="1"/>
  </r>
  <r>
    <x v="8"/>
    <x v="8"/>
    <n v="114070"/>
    <x v="10"/>
    <x v="5"/>
    <x v="9"/>
    <x v="7"/>
    <x v="8"/>
    <x v="1"/>
  </r>
  <r>
    <x v="9"/>
    <x v="9"/>
    <n v="104040"/>
    <x v="11"/>
    <x v="14"/>
    <x v="10"/>
    <x v="2"/>
    <x v="9"/>
    <x v="1"/>
  </r>
  <r>
    <x v="10"/>
    <x v="10"/>
    <n v="115555"/>
    <x v="12"/>
    <x v="11"/>
    <x v="11"/>
    <x v="0"/>
    <x v="10"/>
    <x v="1"/>
  </r>
  <r>
    <x v="11"/>
    <x v="11"/>
    <n v="113000"/>
    <x v="13"/>
    <x v="15"/>
    <x v="12"/>
    <x v="6"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342E2-1098-4FC6-A650-C564671A868F}" name="PT_Actua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G33" firstHeaderRow="0" firstDataRow="1" firstDataCol="1" rowPageCount="1" colPageCount="1"/>
  <pivotFields count="11"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showAll="0">
      <items count="3">
        <item x="1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8" item="0" hier="-1"/>
  </pageFields>
  <dataFields count="6">
    <dataField name="Sum of Development Costs" fld="2" baseField="0" baseItem="0"/>
    <dataField name="Sum of Operational Costs" fld="3" baseField="0" baseItem="0"/>
    <dataField name="Sum of Marketing Costs" fld="4" baseField="0" baseItem="0"/>
    <dataField name="Sum of Travelling Cost" fld="5" baseField="0" baseItem="0"/>
    <dataField name="Sum of Training Cost" fld="6" baseField="0" baseItem="0"/>
    <dataField name="Sum of Maintenance Co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B158C-D266-4CEF-826E-14DF9551F983}" name="PT_Budge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6" firstHeaderRow="0" firstDataRow="1" firstDataCol="1" rowPageCount="1" colPageCount="1"/>
  <pivotFields count="11"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>
      <items count="9">
        <item x="4"/>
        <item x="5"/>
        <item x="2"/>
        <item x="0"/>
        <item x="3"/>
        <item x="7"/>
        <item x="6"/>
        <item x="1"/>
        <item t="default"/>
      </items>
    </pivotField>
    <pivotField dataField="1" showAll="0">
      <items count="13">
        <item x="9"/>
        <item x="8"/>
        <item x="2"/>
        <item x="7"/>
        <item x="1"/>
        <item x="0"/>
        <item x="11"/>
        <item x="5"/>
        <item x="10"/>
        <item x="6"/>
        <item x="4"/>
        <item x="3"/>
        <item t="default"/>
      </items>
    </pivotField>
    <pivotField axis="axisPage" showAll="0">
      <items count="3"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8" item="1" hier="-1"/>
  </pageFields>
  <dataFields count="6">
    <dataField name="Sum of Development Costs" fld="2" baseField="0" baseItem="0"/>
    <dataField name="Sum of Operational Costs" fld="3" baseField="0" baseItem="0"/>
    <dataField name="Sum of Marketing Costs" fld="4" baseField="0" baseItem="0"/>
    <dataField name="Sum of Travelling Cost" fld="5" baseField="0" baseItem="0"/>
    <dataField name="Sum of Training Cost" fld="6" baseField="0" baseItem="0"/>
    <dataField name="Sum of Maintenance Co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BD822-F293-4722-A860-B701E1EF7AB5}" name="Table1" displayName="Table1" ref="A2:G74" totalsRowShown="0" headerRowDxfId="19" dataDxfId="18">
  <autoFilter ref="A2:G74" xr:uid="{D09BD822-F293-4722-A860-B701E1EF7AB5}"/>
  <tableColumns count="7">
    <tableColumn id="1" xr3:uid="{3B12BE04-6F3C-43B3-AB95-802D20F8712B}" name="Month" dataDxfId="17"/>
    <tableColumn id="2" xr3:uid="{BD7EEBCF-81FE-42D1-BB58-FE67859CCCB5}" name="Category" dataDxfId="16"/>
    <tableColumn id="3" xr3:uid="{1AAE9777-74A9-4264-A144-63E2C598E64A}" name="Budget" dataDxfId="15"/>
    <tableColumn id="4" xr3:uid="{7F717E5D-C437-4555-84B5-A6B4FED8D262}" name="Actual" dataDxfId="14"/>
    <tableColumn id="5" xr3:uid="{BECF4D90-C36B-48B1-B365-793CD2E45FB2}" name="Variance" dataDxfId="13">
      <calculatedColumnFormula>D3-C3</calculatedColumnFormula>
    </tableColumn>
    <tableColumn id="6" xr3:uid="{A83E3611-716A-47EA-8261-930ACC05D9CF}" name="Variance %" dataDxfId="12" dataCellStyle="Percent">
      <calculatedColumnFormula>E3/C3</calculatedColumnFormula>
    </tableColumn>
    <tableColumn id="7" xr3:uid="{3DDB0229-31AF-4230-B89D-8E0AACFA6550}" name="Status" dataDxfId="11">
      <calculatedColumnFormula>IF(F3&gt;0.1,"Over Budget",IF(F3&lt;-0.1,"Under Budget","On Track"))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593F97-CF52-4176-8ECA-BA24688E8168}" name="Table2" displayName="Table2" ref="A77:F84" totalsRowShown="0" headerRowDxfId="10" dataDxfId="9">
  <autoFilter ref="A77:F84" xr:uid="{5E593F97-CF52-4176-8ECA-BA24688E8168}"/>
  <tableColumns count="6">
    <tableColumn id="1" xr3:uid="{7A4982D7-0D6F-43CD-A234-5DC45F1D5D0C}" name="Category" dataDxfId="8"/>
    <tableColumn id="2" xr3:uid="{18942396-17C8-4FE4-B10B-465C4FBD44FF}" name="Annual Budget" dataDxfId="7"/>
    <tableColumn id="3" xr3:uid="{AB13B2AD-97F6-49ED-81CE-A87AD84E1635}" name="Annual Actual" dataDxfId="6"/>
    <tableColumn id="4" xr3:uid="{25650815-282A-482C-BB1D-5D1A4E117BBA}" name="Annual Variance" dataDxfId="5">
      <calculatedColumnFormula>C78-B78</calculatedColumnFormula>
    </tableColumn>
    <tableColumn id="5" xr3:uid="{3B86CD39-5AC6-4A62-8F0E-A292BADD59B0}" name="Variance %" dataDxfId="4" dataCellStyle="Percent">
      <calculatedColumnFormula>D78/B78</calculatedColumnFormula>
    </tableColumn>
    <tableColumn id="6" xr3:uid="{1EEB99CB-C819-4B02-A308-194544B75E04}" name="Status" dataDxfId="3">
      <calculatedColumnFormula>IF(E78&gt;0.1,"Over Budget",IF(E78&lt;-0.1,"Under Budget","On Track"))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ortfolio_Dashboard">
      <a:dk1>
        <a:srgbClr val="1F3864"/>
      </a:dk1>
      <a:lt1>
        <a:srgbClr val="FFFFFF"/>
      </a:lt1>
      <a:dk2>
        <a:srgbClr val="2E75B6"/>
      </a:dk2>
      <a:lt2>
        <a:srgbClr val="EBF3FB"/>
      </a:lt2>
      <a:accent1>
        <a:srgbClr val="375623"/>
      </a:accent1>
      <a:accent2>
        <a:srgbClr val="7F6000"/>
      </a:accent2>
      <a:accent3>
        <a:srgbClr val="843C0C"/>
      </a:accent3>
      <a:accent4>
        <a:srgbClr val="F0F5FF"/>
      </a:accent4>
      <a:accent5>
        <a:srgbClr val="94A3B8"/>
      </a:accent5>
      <a:accent6>
        <a:srgbClr val="1E293B"/>
      </a:accent6>
      <a:hlink>
        <a:srgbClr val="467886"/>
      </a:hlink>
      <a:folHlink>
        <a:srgbClr val="96607D"/>
      </a:folHlink>
    </a:clrScheme>
    <a:fontScheme name="Custom 45">
      <a:majorFont>
        <a:latin typeface="Corbel"/>
        <a:ea typeface=""/>
        <a:cs typeface=""/>
      </a:majorFont>
      <a:minorFont>
        <a:latin typeface="Palatino Linotyp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A2" sqref="A2"/>
    </sheetView>
  </sheetViews>
  <sheetFormatPr defaultRowHeight="15.6" x14ac:dyDescent="0.35"/>
  <cols>
    <col min="2" max="2" width="10.109375" customWidth="1"/>
    <col min="3" max="3" width="8.21875" customWidth="1"/>
    <col min="4" max="4" width="10.44140625" customWidth="1"/>
    <col min="6" max="6" width="12.21875" customWidth="1"/>
    <col min="7" max="7" width="13.109375" customWidth="1"/>
  </cols>
  <sheetData>
    <row r="1" spans="1:8" ht="46.8" x14ac:dyDescent="0.35">
      <c r="A1" t="s">
        <v>0</v>
      </c>
      <c r="B1" s="1" t="s">
        <v>3</v>
      </c>
      <c r="C1" s="1" t="s">
        <v>6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9</v>
      </c>
    </row>
    <row r="2" spans="1:8" x14ac:dyDescent="0.35">
      <c r="A2" s="2">
        <v>44927</v>
      </c>
      <c r="B2">
        <v>107000</v>
      </c>
      <c r="C2">
        <v>12000</v>
      </c>
      <c r="D2">
        <v>10000</v>
      </c>
      <c r="E2">
        <v>4000</v>
      </c>
      <c r="F2">
        <v>6000</v>
      </c>
      <c r="G2">
        <v>4000</v>
      </c>
      <c r="H2" t="s">
        <v>8</v>
      </c>
    </row>
    <row r="3" spans="1:8" x14ac:dyDescent="0.35">
      <c r="A3" s="2">
        <v>44958</v>
      </c>
      <c r="B3">
        <v>107000</v>
      </c>
      <c r="C3">
        <v>12000</v>
      </c>
      <c r="D3">
        <v>5000</v>
      </c>
      <c r="E3">
        <v>4000</v>
      </c>
      <c r="F3">
        <v>6000</v>
      </c>
      <c r="G3">
        <v>4000</v>
      </c>
      <c r="H3" t="s">
        <v>8</v>
      </c>
    </row>
    <row r="4" spans="1:8" x14ac:dyDescent="0.35">
      <c r="A4" s="2">
        <v>44986</v>
      </c>
      <c r="B4">
        <v>108000</v>
      </c>
      <c r="C4">
        <v>12000</v>
      </c>
      <c r="D4">
        <v>5000</v>
      </c>
      <c r="E4">
        <v>4000</v>
      </c>
      <c r="F4">
        <v>6000</v>
      </c>
      <c r="G4">
        <v>4000</v>
      </c>
      <c r="H4" t="s">
        <v>8</v>
      </c>
    </row>
    <row r="5" spans="1:8" x14ac:dyDescent="0.35">
      <c r="A5" s="2">
        <v>45017</v>
      </c>
      <c r="B5">
        <v>107000</v>
      </c>
      <c r="C5">
        <v>12000</v>
      </c>
      <c r="D5">
        <v>10000</v>
      </c>
      <c r="E5">
        <v>4000</v>
      </c>
      <c r="F5">
        <v>6000</v>
      </c>
      <c r="G5">
        <v>4000</v>
      </c>
      <c r="H5" t="s">
        <v>8</v>
      </c>
    </row>
    <row r="6" spans="1:8" x14ac:dyDescent="0.35">
      <c r="A6" s="2">
        <v>45047</v>
      </c>
      <c r="B6">
        <v>111100</v>
      </c>
      <c r="C6">
        <v>12000</v>
      </c>
      <c r="D6">
        <v>4000</v>
      </c>
      <c r="E6">
        <v>4000</v>
      </c>
      <c r="F6">
        <v>6000</v>
      </c>
      <c r="G6">
        <v>4000</v>
      </c>
      <c r="H6" t="s">
        <v>8</v>
      </c>
    </row>
    <row r="7" spans="1:8" x14ac:dyDescent="0.35">
      <c r="A7" s="2">
        <v>45078</v>
      </c>
      <c r="B7">
        <v>111100</v>
      </c>
      <c r="C7">
        <v>15000</v>
      </c>
      <c r="D7">
        <v>4000</v>
      </c>
      <c r="E7">
        <v>4000</v>
      </c>
      <c r="F7">
        <v>8000</v>
      </c>
      <c r="G7">
        <v>4000</v>
      </c>
      <c r="H7" t="s">
        <v>8</v>
      </c>
    </row>
    <row r="8" spans="1:8" x14ac:dyDescent="0.35">
      <c r="A8" s="2">
        <v>45108</v>
      </c>
      <c r="B8">
        <v>110000</v>
      </c>
      <c r="C8">
        <v>15000</v>
      </c>
      <c r="D8">
        <v>8000</v>
      </c>
      <c r="E8">
        <v>4000</v>
      </c>
      <c r="F8">
        <v>8000</v>
      </c>
      <c r="G8">
        <v>4000</v>
      </c>
      <c r="H8" t="s">
        <v>8</v>
      </c>
    </row>
    <row r="9" spans="1:8" x14ac:dyDescent="0.35">
      <c r="A9" s="2">
        <v>45139</v>
      </c>
      <c r="B9">
        <v>117000</v>
      </c>
      <c r="C9">
        <v>15000</v>
      </c>
      <c r="D9">
        <v>6000</v>
      </c>
      <c r="E9">
        <v>4000</v>
      </c>
      <c r="F9">
        <v>8000</v>
      </c>
      <c r="G9">
        <v>4000</v>
      </c>
      <c r="H9" t="s">
        <v>8</v>
      </c>
    </row>
    <row r="10" spans="1:8" x14ac:dyDescent="0.35">
      <c r="A10" s="2">
        <v>45170</v>
      </c>
      <c r="B10">
        <v>118000</v>
      </c>
      <c r="C10">
        <v>15000</v>
      </c>
      <c r="D10">
        <v>3000</v>
      </c>
      <c r="E10">
        <v>4000</v>
      </c>
      <c r="F10">
        <v>8000</v>
      </c>
      <c r="G10">
        <v>4000</v>
      </c>
      <c r="H10" t="s">
        <v>8</v>
      </c>
    </row>
    <row r="11" spans="1:8" x14ac:dyDescent="0.35">
      <c r="A11" s="2">
        <v>45200</v>
      </c>
      <c r="B11">
        <v>110000</v>
      </c>
      <c r="C11">
        <v>15000</v>
      </c>
      <c r="D11">
        <v>10000</v>
      </c>
      <c r="E11">
        <v>4000</v>
      </c>
      <c r="F11">
        <v>8000</v>
      </c>
      <c r="G11">
        <v>4000</v>
      </c>
      <c r="H11" t="s">
        <v>8</v>
      </c>
    </row>
    <row r="12" spans="1:8" x14ac:dyDescent="0.35">
      <c r="A12" s="2">
        <v>45231</v>
      </c>
      <c r="B12">
        <v>117000</v>
      </c>
      <c r="C12">
        <v>15000</v>
      </c>
      <c r="D12">
        <v>3000</v>
      </c>
      <c r="E12">
        <v>4000</v>
      </c>
      <c r="F12">
        <v>8000</v>
      </c>
      <c r="G12">
        <v>4000</v>
      </c>
      <c r="H12" t="s">
        <v>8</v>
      </c>
    </row>
    <row r="13" spans="1:8" x14ac:dyDescent="0.35">
      <c r="A13" s="2">
        <v>45261</v>
      </c>
      <c r="B13">
        <v>117000</v>
      </c>
      <c r="C13">
        <v>15000</v>
      </c>
      <c r="D13">
        <v>7000</v>
      </c>
      <c r="E13">
        <v>4000</v>
      </c>
      <c r="F13">
        <v>8000</v>
      </c>
      <c r="G13">
        <v>4000</v>
      </c>
      <c r="H13" t="s">
        <v>8</v>
      </c>
    </row>
    <row r="14" spans="1:8" x14ac:dyDescent="0.35">
      <c r="A14" s="2">
        <v>44927</v>
      </c>
      <c r="B14">
        <v>106950</v>
      </c>
      <c r="C14">
        <v>15600</v>
      </c>
      <c r="D14">
        <v>9820</v>
      </c>
      <c r="E14">
        <v>3200</v>
      </c>
      <c r="F14">
        <v>5500</v>
      </c>
      <c r="G14">
        <v>3200</v>
      </c>
      <c r="H14" t="s">
        <v>7</v>
      </c>
    </row>
    <row r="15" spans="1:8" x14ac:dyDescent="0.35">
      <c r="A15" s="2">
        <v>44958</v>
      </c>
      <c r="B15">
        <v>109000</v>
      </c>
      <c r="C15">
        <v>11698</v>
      </c>
      <c r="D15">
        <v>3556</v>
      </c>
      <c r="E15">
        <v>2300</v>
      </c>
      <c r="F15">
        <v>6500</v>
      </c>
      <c r="G15">
        <v>2800</v>
      </c>
      <c r="H15" t="s">
        <v>7</v>
      </c>
    </row>
    <row r="16" spans="1:8" x14ac:dyDescent="0.35">
      <c r="A16" s="2">
        <v>44986</v>
      </c>
      <c r="B16">
        <v>108500</v>
      </c>
      <c r="C16">
        <v>13453</v>
      </c>
      <c r="D16">
        <v>6800</v>
      </c>
      <c r="E16">
        <v>5300</v>
      </c>
      <c r="F16">
        <v>0</v>
      </c>
      <c r="G16">
        <v>7800</v>
      </c>
      <c r="H16" t="s">
        <v>7</v>
      </c>
    </row>
    <row r="17" spans="1:8" x14ac:dyDescent="0.35">
      <c r="A17" s="2">
        <v>45017</v>
      </c>
      <c r="B17">
        <v>109900</v>
      </c>
      <c r="C17">
        <v>15790</v>
      </c>
      <c r="D17">
        <v>11400</v>
      </c>
      <c r="E17">
        <v>2200</v>
      </c>
      <c r="F17">
        <v>4000</v>
      </c>
      <c r="G17">
        <v>5700</v>
      </c>
      <c r="H17" t="s">
        <v>7</v>
      </c>
    </row>
    <row r="18" spans="1:8" x14ac:dyDescent="0.35">
      <c r="A18" s="2">
        <v>45047</v>
      </c>
      <c r="B18">
        <v>111760</v>
      </c>
      <c r="C18">
        <v>11508</v>
      </c>
      <c r="D18">
        <v>2900</v>
      </c>
      <c r="E18">
        <v>1200</v>
      </c>
      <c r="F18">
        <v>6000</v>
      </c>
      <c r="G18">
        <v>4600</v>
      </c>
      <c r="H18" t="s">
        <v>7</v>
      </c>
    </row>
    <row r="19" spans="1:8" x14ac:dyDescent="0.35">
      <c r="A19" s="2">
        <v>45078</v>
      </c>
      <c r="B19">
        <v>111760</v>
      </c>
      <c r="C19">
        <v>15500</v>
      </c>
      <c r="D19">
        <v>3500</v>
      </c>
      <c r="E19">
        <v>4200</v>
      </c>
      <c r="F19">
        <v>6500</v>
      </c>
      <c r="G19">
        <v>5500</v>
      </c>
      <c r="H19" t="s">
        <v>7</v>
      </c>
    </row>
    <row r="20" spans="1:8" x14ac:dyDescent="0.35">
      <c r="A20" s="2">
        <v>45108</v>
      </c>
      <c r="B20">
        <v>102000</v>
      </c>
      <c r="C20">
        <v>14333</v>
      </c>
      <c r="D20">
        <v>3000</v>
      </c>
      <c r="E20">
        <v>2900</v>
      </c>
      <c r="F20">
        <v>7500</v>
      </c>
      <c r="G20">
        <v>4000</v>
      </c>
      <c r="H20" t="s">
        <v>7</v>
      </c>
    </row>
    <row r="21" spans="1:8" x14ac:dyDescent="0.35">
      <c r="A21" s="2">
        <v>45139</v>
      </c>
      <c r="B21">
        <v>108100</v>
      </c>
      <c r="C21">
        <v>16500</v>
      </c>
      <c r="D21">
        <v>5800</v>
      </c>
      <c r="E21">
        <v>4300</v>
      </c>
      <c r="F21">
        <v>6000</v>
      </c>
      <c r="G21">
        <v>3100</v>
      </c>
      <c r="H21" t="s">
        <v>7</v>
      </c>
    </row>
    <row r="22" spans="1:8" x14ac:dyDescent="0.35">
      <c r="A22" s="2">
        <v>45170</v>
      </c>
      <c r="B22">
        <v>114070</v>
      </c>
      <c r="C22">
        <v>10900</v>
      </c>
      <c r="D22">
        <v>3000</v>
      </c>
      <c r="E22">
        <v>2700</v>
      </c>
      <c r="F22">
        <v>7000</v>
      </c>
      <c r="G22">
        <v>2400</v>
      </c>
      <c r="H22" t="s">
        <v>7</v>
      </c>
    </row>
    <row r="23" spans="1:8" x14ac:dyDescent="0.35">
      <c r="A23" s="2">
        <v>45200</v>
      </c>
      <c r="B23">
        <v>104040</v>
      </c>
      <c r="C23">
        <v>17800</v>
      </c>
      <c r="D23">
        <v>9800</v>
      </c>
      <c r="E23">
        <v>3700</v>
      </c>
      <c r="F23">
        <v>5500</v>
      </c>
      <c r="G23">
        <v>1398</v>
      </c>
      <c r="H23" t="s">
        <v>7</v>
      </c>
    </row>
    <row r="24" spans="1:8" x14ac:dyDescent="0.35">
      <c r="A24" s="2">
        <v>45231</v>
      </c>
      <c r="B24">
        <v>115555</v>
      </c>
      <c r="C24">
        <v>16800</v>
      </c>
      <c r="D24">
        <v>2900</v>
      </c>
      <c r="E24">
        <v>4500</v>
      </c>
      <c r="F24">
        <v>6000</v>
      </c>
      <c r="G24">
        <v>5399</v>
      </c>
      <c r="H24" t="s">
        <v>7</v>
      </c>
    </row>
    <row r="25" spans="1:8" x14ac:dyDescent="0.35">
      <c r="A25" s="2">
        <v>45261</v>
      </c>
      <c r="B25">
        <v>113000</v>
      </c>
      <c r="C25">
        <v>14200</v>
      </c>
      <c r="D25">
        <v>7200</v>
      </c>
      <c r="E25">
        <v>4800</v>
      </c>
      <c r="F25">
        <v>7500</v>
      </c>
      <c r="G25">
        <v>4590</v>
      </c>
      <c r="H25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2316-DA1F-4BDB-B6CC-E29B1A0CC789}">
  <dimension ref="A1:I25"/>
  <sheetViews>
    <sheetView workbookViewId="0">
      <selection activeCell="H1" sqref="H1"/>
    </sheetView>
  </sheetViews>
  <sheetFormatPr defaultRowHeight="13.8" x14ac:dyDescent="0.25"/>
  <cols>
    <col min="1" max="1" width="9.88671875" style="3" bestFit="1" customWidth="1"/>
    <col min="2" max="2" width="9.6640625" style="3" customWidth="1"/>
    <col min="3" max="3" width="18.44140625" style="4" bestFit="1" customWidth="1"/>
    <col min="4" max="4" width="16.88671875" style="4" bestFit="1" customWidth="1"/>
    <col min="5" max="5" width="15.5546875" style="4" bestFit="1" customWidth="1"/>
    <col min="6" max="6" width="14.6640625" style="4" bestFit="1" customWidth="1"/>
    <col min="7" max="7" width="13.33203125" style="4" bestFit="1" customWidth="1"/>
    <col min="8" max="8" width="17" style="4" bestFit="1" customWidth="1"/>
    <col min="9" max="16384" width="8.88671875" style="4"/>
  </cols>
  <sheetData>
    <row r="1" spans="1:9" x14ac:dyDescent="0.25">
      <c r="A1" s="3" t="s">
        <v>0</v>
      </c>
      <c r="B1" s="3" t="s">
        <v>11</v>
      </c>
      <c r="C1" s="4" t="s">
        <v>3</v>
      </c>
      <c r="D1" s="4" t="s">
        <v>10</v>
      </c>
      <c r="E1" s="4" t="s">
        <v>1</v>
      </c>
      <c r="F1" s="4" t="s">
        <v>2</v>
      </c>
      <c r="G1" s="4" t="s">
        <v>4</v>
      </c>
      <c r="H1" s="4" t="s">
        <v>5</v>
      </c>
      <c r="I1" s="4" t="s">
        <v>12</v>
      </c>
    </row>
    <row r="2" spans="1:9" x14ac:dyDescent="0.25">
      <c r="A2" s="3">
        <v>44927</v>
      </c>
      <c r="B2" s="4">
        <f>MONTH(A2)</f>
        <v>1</v>
      </c>
      <c r="C2" s="4">
        <v>107000</v>
      </c>
      <c r="D2" s="4">
        <v>12000</v>
      </c>
      <c r="E2" s="4">
        <v>10000</v>
      </c>
      <c r="F2" s="4">
        <v>4000</v>
      </c>
      <c r="G2" s="4">
        <v>6000</v>
      </c>
      <c r="H2" s="4">
        <v>4000</v>
      </c>
      <c r="I2" s="4" t="s">
        <v>8</v>
      </c>
    </row>
    <row r="3" spans="1:9" x14ac:dyDescent="0.25">
      <c r="A3" s="3">
        <v>44958</v>
      </c>
      <c r="B3" s="4">
        <f t="shared" ref="B3:B25" si="0">MONTH(A3)</f>
        <v>2</v>
      </c>
      <c r="C3" s="4">
        <v>107000</v>
      </c>
      <c r="D3" s="4">
        <v>12000</v>
      </c>
      <c r="E3" s="4">
        <v>5000</v>
      </c>
      <c r="F3" s="4">
        <v>4000</v>
      </c>
      <c r="G3" s="4">
        <v>6000</v>
      </c>
      <c r="H3" s="4">
        <v>4000</v>
      </c>
      <c r="I3" s="4" t="s">
        <v>8</v>
      </c>
    </row>
    <row r="4" spans="1:9" x14ac:dyDescent="0.25">
      <c r="A4" s="3">
        <v>44986</v>
      </c>
      <c r="B4" s="4">
        <f t="shared" si="0"/>
        <v>3</v>
      </c>
      <c r="C4" s="4">
        <v>108000</v>
      </c>
      <c r="D4" s="4">
        <v>12000</v>
      </c>
      <c r="E4" s="4">
        <v>5000</v>
      </c>
      <c r="F4" s="4">
        <v>4000</v>
      </c>
      <c r="G4" s="4">
        <v>6000</v>
      </c>
      <c r="H4" s="4">
        <v>4000</v>
      </c>
      <c r="I4" s="4" t="s">
        <v>8</v>
      </c>
    </row>
    <row r="5" spans="1:9" x14ac:dyDescent="0.25">
      <c r="A5" s="3">
        <v>45017</v>
      </c>
      <c r="B5" s="4">
        <f t="shared" si="0"/>
        <v>4</v>
      </c>
      <c r="C5" s="4">
        <v>107000</v>
      </c>
      <c r="D5" s="4">
        <v>12000</v>
      </c>
      <c r="E5" s="4">
        <v>10000</v>
      </c>
      <c r="F5" s="4">
        <v>4000</v>
      </c>
      <c r="G5" s="4">
        <v>6000</v>
      </c>
      <c r="H5" s="4">
        <v>4000</v>
      </c>
      <c r="I5" s="4" t="s">
        <v>8</v>
      </c>
    </row>
    <row r="6" spans="1:9" x14ac:dyDescent="0.25">
      <c r="A6" s="3">
        <v>45047</v>
      </c>
      <c r="B6" s="4">
        <f t="shared" si="0"/>
        <v>5</v>
      </c>
      <c r="C6" s="4">
        <v>111100</v>
      </c>
      <c r="D6" s="4">
        <v>12000</v>
      </c>
      <c r="E6" s="4">
        <v>4000</v>
      </c>
      <c r="F6" s="4">
        <v>4000</v>
      </c>
      <c r="G6" s="4">
        <v>6000</v>
      </c>
      <c r="H6" s="4">
        <v>4000</v>
      </c>
      <c r="I6" s="4" t="s">
        <v>8</v>
      </c>
    </row>
    <row r="7" spans="1:9" x14ac:dyDescent="0.25">
      <c r="A7" s="3">
        <v>45078</v>
      </c>
      <c r="B7" s="4">
        <f t="shared" si="0"/>
        <v>6</v>
      </c>
      <c r="C7" s="4">
        <v>111100</v>
      </c>
      <c r="D7" s="4">
        <v>15000</v>
      </c>
      <c r="E7" s="4">
        <v>4000</v>
      </c>
      <c r="F7" s="4">
        <v>4000</v>
      </c>
      <c r="G7" s="4">
        <v>8000</v>
      </c>
      <c r="H7" s="4">
        <v>4000</v>
      </c>
      <c r="I7" s="4" t="s">
        <v>8</v>
      </c>
    </row>
    <row r="8" spans="1:9" x14ac:dyDescent="0.25">
      <c r="A8" s="3">
        <v>45108</v>
      </c>
      <c r="B8" s="4">
        <f t="shared" si="0"/>
        <v>7</v>
      </c>
      <c r="C8" s="4">
        <v>110000</v>
      </c>
      <c r="D8" s="4">
        <v>15000</v>
      </c>
      <c r="E8" s="4">
        <v>8000</v>
      </c>
      <c r="F8" s="4">
        <v>4000</v>
      </c>
      <c r="G8" s="4">
        <v>8000</v>
      </c>
      <c r="H8" s="4">
        <v>4000</v>
      </c>
      <c r="I8" s="4" t="s">
        <v>8</v>
      </c>
    </row>
    <row r="9" spans="1:9" x14ac:dyDescent="0.25">
      <c r="A9" s="3">
        <v>45139</v>
      </c>
      <c r="B9" s="4">
        <f t="shared" si="0"/>
        <v>8</v>
      </c>
      <c r="C9" s="4">
        <v>117000</v>
      </c>
      <c r="D9" s="4">
        <v>15000</v>
      </c>
      <c r="E9" s="4">
        <v>6000</v>
      </c>
      <c r="F9" s="4">
        <v>4000</v>
      </c>
      <c r="G9" s="4">
        <v>8000</v>
      </c>
      <c r="H9" s="4">
        <v>4000</v>
      </c>
      <c r="I9" s="4" t="s">
        <v>8</v>
      </c>
    </row>
    <row r="10" spans="1:9" x14ac:dyDescent="0.25">
      <c r="A10" s="3">
        <v>45170</v>
      </c>
      <c r="B10" s="4">
        <f t="shared" si="0"/>
        <v>9</v>
      </c>
      <c r="C10" s="4">
        <v>118000</v>
      </c>
      <c r="D10" s="4">
        <v>15000</v>
      </c>
      <c r="E10" s="4">
        <v>3000</v>
      </c>
      <c r="F10" s="4">
        <v>4000</v>
      </c>
      <c r="G10" s="4">
        <v>8000</v>
      </c>
      <c r="H10" s="4">
        <v>4000</v>
      </c>
      <c r="I10" s="4" t="s">
        <v>8</v>
      </c>
    </row>
    <row r="11" spans="1:9" x14ac:dyDescent="0.25">
      <c r="A11" s="3">
        <v>45200</v>
      </c>
      <c r="B11" s="4">
        <f t="shared" si="0"/>
        <v>10</v>
      </c>
      <c r="C11" s="4">
        <v>110000</v>
      </c>
      <c r="D11" s="4">
        <v>15000</v>
      </c>
      <c r="E11" s="4">
        <v>10000</v>
      </c>
      <c r="F11" s="4">
        <v>4000</v>
      </c>
      <c r="G11" s="4">
        <v>8000</v>
      </c>
      <c r="H11" s="4">
        <v>4000</v>
      </c>
      <c r="I11" s="4" t="s">
        <v>8</v>
      </c>
    </row>
    <row r="12" spans="1:9" x14ac:dyDescent="0.25">
      <c r="A12" s="3">
        <v>45231</v>
      </c>
      <c r="B12" s="4">
        <f t="shared" si="0"/>
        <v>11</v>
      </c>
      <c r="C12" s="4">
        <v>117000</v>
      </c>
      <c r="D12" s="4">
        <v>15000</v>
      </c>
      <c r="E12" s="4">
        <v>3000</v>
      </c>
      <c r="F12" s="4">
        <v>4000</v>
      </c>
      <c r="G12" s="4">
        <v>8000</v>
      </c>
      <c r="H12" s="4">
        <v>4000</v>
      </c>
      <c r="I12" s="4" t="s">
        <v>8</v>
      </c>
    </row>
    <row r="13" spans="1:9" x14ac:dyDescent="0.25">
      <c r="A13" s="3">
        <v>45261</v>
      </c>
      <c r="B13" s="4">
        <f t="shared" si="0"/>
        <v>12</v>
      </c>
      <c r="C13" s="4">
        <v>117000</v>
      </c>
      <c r="D13" s="4">
        <v>15000</v>
      </c>
      <c r="E13" s="4">
        <v>7000</v>
      </c>
      <c r="F13" s="4">
        <v>4000</v>
      </c>
      <c r="G13" s="4">
        <v>8000</v>
      </c>
      <c r="H13" s="4">
        <v>4000</v>
      </c>
      <c r="I13" s="4" t="s">
        <v>8</v>
      </c>
    </row>
    <row r="14" spans="1:9" x14ac:dyDescent="0.25">
      <c r="A14" s="3">
        <v>44927</v>
      </c>
      <c r="B14" s="4">
        <f t="shared" si="0"/>
        <v>1</v>
      </c>
      <c r="C14" s="4">
        <v>106950</v>
      </c>
      <c r="D14" s="4">
        <v>15600</v>
      </c>
      <c r="E14" s="4">
        <v>9820</v>
      </c>
      <c r="F14" s="4">
        <v>3200</v>
      </c>
      <c r="G14" s="4">
        <v>5500</v>
      </c>
      <c r="H14" s="4">
        <v>3200</v>
      </c>
      <c r="I14" s="4" t="s">
        <v>7</v>
      </c>
    </row>
    <row r="15" spans="1:9" x14ac:dyDescent="0.25">
      <c r="A15" s="3">
        <v>44958</v>
      </c>
      <c r="B15" s="4">
        <f t="shared" si="0"/>
        <v>2</v>
      </c>
      <c r="C15" s="4">
        <v>109000</v>
      </c>
      <c r="D15" s="4">
        <v>11698</v>
      </c>
      <c r="E15" s="4">
        <v>3556</v>
      </c>
      <c r="F15" s="4">
        <v>2300</v>
      </c>
      <c r="G15" s="4">
        <v>6500</v>
      </c>
      <c r="H15" s="4">
        <v>2800</v>
      </c>
      <c r="I15" s="4" t="s">
        <v>7</v>
      </c>
    </row>
    <row r="16" spans="1:9" x14ac:dyDescent="0.25">
      <c r="A16" s="3">
        <v>44986</v>
      </c>
      <c r="B16" s="4">
        <f t="shared" si="0"/>
        <v>3</v>
      </c>
      <c r="C16" s="4">
        <v>108500</v>
      </c>
      <c r="D16" s="4">
        <v>13453</v>
      </c>
      <c r="E16" s="4">
        <v>6800</v>
      </c>
      <c r="F16" s="4">
        <v>5300</v>
      </c>
      <c r="G16" s="4">
        <v>0</v>
      </c>
      <c r="H16" s="4">
        <v>7800</v>
      </c>
      <c r="I16" s="4" t="s">
        <v>7</v>
      </c>
    </row>
    <row r="17" spans="1:9" x14ac:dyDescent="0.25">
      <c r="A17" s="3">
        <v>45017</v>
      </c>
      <c r="B17" s="4">
        <f t="shared" si="0"/>
        <v>4</v>
      </c>
      <c r="C17" s="4">
        <v>109900</v>
      </c>
      <c r="D17" s="4">
        <v>15790</v>
      </c>
      <c r="E17" s="4">
        <v>11400</v>
      </c>
      <c r="F17" s="4">
        <v>2200</v>
      </c>
      <c r="G17" s="4">
        <v>4000</v>
      </c>
      <c r="H17" s="4">
        <v>5700</v>
      </c>
      <c r="I17" s="4" t="s">
        <v>7</v>
      </c>
    </row>
    <row r="18" spans="1:9" x14ac:dyDescent="0.25">
      <c r="A18" s="3">
        <v>45047</v>
      </c>
      <c r="B18" s="4">
        <f t="shared" si="0"/>
        <v>5</v>
      </c>
      <c r="C18" s="4">
        <v>111760</v>
      </c>
      <c r="D18" s="4">
        <v>11508</v>
      </c>
      <c r="E18" s="4">
        <v>2900</v>
      </c>
      <c r="F18" s="4">
        <v>1200</v>
      </c>
      <c r="G18" s="4">
        <v>6000</v>
      </c>
      <c r="H18" s="4">
        <v>4600</v>
      </c>
      <c r="I18" s="4" t="s">
        <v>7</v>
      </c>
    </row>
    <row r="19" spans="1:9" x14ac:dyDescent="0.25">
      <c r="A19" s="3">
        <v>45078</v>
      </c>
      <c r="B19" s="4">
        <f t="shared" si="0"/>
        <v>6</v>
      </c>
      <c r="C19" s="4">
        <v>111760</v>
      </c>
      <c r="D19" s="4">
        <v>15500</v>
      </c>
      <c r="E19" s="4">
        <v>3500</v>
      </c>
      <c r="F19" s="4">
        <v>4200</v>
      </c>
      <c r="G19" s="4">
        <v>6500</v>
      </c>
      <c r="H19" s="4">
        <v>5500</v>
      </c>
      <c r="I19" s="4" t="s">
        <v>7</v>
      </c>
    </row>
    <row r="20" spans="1:9" x14ac:dyDescent="0.25">
      <c r="A20" s="3">
        <v>45108</v>
      </c>
      <c r="B20" s="4">
        <f t="shared" si="0"/>
        <v>7</v>
      </c>
      <c r="C20" s="4">
        <v>102000</v>
      </c>
      <c r="D20" s="4">
        <v>14333</v>
      </c>
      <c r="E20" s="4">
        <v>3000</v>
      </c>
      <c r="F20" s="4">
        <v>2900</v>
      </c>
      <c r="G20" s="4">
        <v>7500</v>
      </c>
      <c r="H20" s="4">
        <v>4000</v>
      </c>
      <c r="I20" s="4" t="s">
        <v>7</v>
      </c>
    </row>
    <row r="21" spans="1:9" x14ac:dyDescent="0.25">
      <c r="A21" s="3">
        <v>45139</v>
      </c>
      <c r="B21" s="4">
        <f t="shared" si="0"/>
        <v>8</v>
      </c>
      <c r="C21" s="4">
        <v>108100</v>
      </c>
      <c r="D21" s="4">
        <v>16500</v>
      </c>
      <c r="E21" s="4">
        <v>5800</v>
      </c>
      <c r="F21" s="4">
        <v>4300</v>
      </c>
      <c r="G21" s="4">
        <v>6000</v>
      </c>
      <c r="H21" s="4">
        <v>3100</v>
      </c>
      <c r="I21" s="4" t="s">
        <v>7</v>
      </c>
    </row>
    <row r="22" spans="1:9" x14ac:dyDescent="0.25">
      <c r="A22" s="3">
        <v>45170</v>
      </c>
      <c r="B22" s="4">
        <f t="shared" si="0"/>
        <v>9</v>
      </c>
      <c r="C22" s="4">
        <v>114070</v>
      </c>
      <c r="D22" s="4">
        <v>10900</v>
      </c>
      <c r="E22" s="4">
        <v>3000</v>
      </c>
      <c r="F22" s="4">
        <v>2700</v>
      </c>
      <c r="G22" s="4">
        <v>7000</v>
      </c>
      <c r="H22" s="4">
        <v>2400</v>
      </c>
      <c r="I22" s="4" t="s">
        <v>7</v>
      </c>
    </row>
    <row r="23" spans="1:9" x14ac:dyDescent="0.25">
      <c r="A23" s="3">
        <v>45200</v>
      </c>
      <c r="B23" s="4">
        <f t="shared" si="0"/>
        <v>10</v>
      </c>
      <c r="C23" s="4">
        <v>104040</v>
      </c>
      <c r="D23" s="4">
        <v>17800</v>
      </c>
      <c r="E23" s="4">
        <v>9800</v>
      </c>
      <c r="F23" s="4">
        <v>3700</v>
      </c>
      <c r="G23" s="4">
        <v>5500</v>
      </c>
      <c r="H23" s="4">
        <v>1398</v>
      </c>
      <c r="I23" s="4" t="s">
        <v>7</v>
      </c>
    </row>
    <row r="24" spans="1:9" x14ac:dyDescent="0.25">
      <c r="A24" s="3">
        <v>45231</v>
      </c>
      <c r="B24" s="4">
        <f t="shared" si="0"/>
        <v>11</v>
      </c>
      <c r="C24" s="4">
        <v>115555</v>
      </c>
      <c r="D24" s="4">
        <v>16800</v>
      </c>
      <c r="E24" s="4">
        <v>2900</v>
      </c>
      <c r="F24" s="4">
        <v>4500</v>
      </c>
      <c r="G24" s="4">
        <v>6000</v>
      </c>
      <c r="H24" s="4">
        <v>5399</v>
      </c>
      <c r="I24" s="4" t="s">
        <v>7</v>
      </c>
    </row>
    <row r="25" spans="1:9" x14ac:dyDescent="0.25">
      <c r="A25" s="3">
        <v>45261</v>
      </c>
      <c r="B25" s="4">
        <f t="shared" si="0"/>
        <v>12</v>
      </c>
      <c r="C25" s="4">
        <v>113000</v>
      </c>
      <c r="D25" s="4">
        <v>14200</v>
      </c>
      <c r="E25" s="4">
        <v>7200</v>
      </c>
      <c r="F25" s="4">
        <v>4800</v>
      </c>
      <c r="G25" s="4">
        <v>7500</v>
      </c>
      <c r="H25" s="4">
        <v>4590</v>
      </c>
      <c r="I25" s="4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A9A4-4B16-4404-BD0D-DC1FB54BBB10}">
  <dimension ref="A1:G33"/>
  <sheetViews>
    <sheetView topLeftCell="A13" workbookViewId="0">
      <selection activeCell="C21" sqref="C21"/>
    </sheetView>
  </sheetViews>
  <sheetFormatPr defaultRowHeight="15.6" x14ac:dyDescent="0.35"/>
  <cols>
    <col min="1" max="1" width="14" bestFit="1" customWidth="1"/>
    <col min="2" max="2" width="27.109375" bestFit="1" customWidth="1"/>
    <col min="3" max="3" width="25.77734375" bestFit="1" customWidth="1"/>
    <col min="4" max="4" width="24.33203125" bestFit="1" customWidth="1"/>
    <col min="5" max="5" width="23.21875" bestFit="1" customWidth="1"/>
    <col min="6" max="6" width="21.77734375" bestFit="1" customWidth="1"/>
    <col min="7" max="7" width="25.88671875" bestFit="1" customWidth="1"/>
    <col min="8" max="8" width="32.6640625" bestFit="1" customWidth="1"/>
    <col min="9" max="9" width="31.33203125" bestFit="1" customWidth="1"/>
    <col min="10" max="10" width="30" bestFit="1" customWidth="1"/>
    <col min="11" max="11" width="28.77734375" bestFit="1" customWidth="1"/>
    <col min="12" max="12" width="27.33203125" bestFit="1" customWidth="1"/>
    <col min="13" max="13" width="31.44140625" bestFit="1" customWidth="1"/>
  </cols>
  <sheetData>
    <row r="1" spans="1:7" x14ac:dyDescent="0.35">
      <c r="A1" s="5" t="s">
        <v>12</v>
      </c>
      <c r="B1" t="s">
        <v>8</v>
      </c>
    </row>
    <row r="3" spans="1:7" x14ac:dyDescent="0.35">
      <c r="A3" s="5" t="s">
        <v>17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</row>
    <row r="4" spans="1:7" x14ac:dyDescent="0.35">
      <c r="A4" s="6">
        <v>1</v>
      </c>
      <c r="B4">
        <v>107000</v>
      </c>
      <c r="C4">
        <v>12000</v>
      </c>
      <c r="D4">
        <v>10000</v>
      </c>
      <c r="E4">
        <v>4000</v>
      </c>
      <c r="F4">
        <v>6000</v>
      </c>
      <c r="G4">
        <v>4000</v>
      </c>
    </row>
    <row r="5" spans="1:7" x14ac:dyDescent="0.35">
      <c r="A5" s="6">
        <v>2</v>
      </c>
      <c r="B5">
        <v>107000</v>
      </c>
      <c r="C5">
        <v>12000</v>
      </c>
      <c r="D5">
        <v>5000</v>
      </c>
      <c r="E5">
        <v>4000</v>
      </c>
      <c r="F5">
        <v>6000</v>
      </c>
      <c r="G5">
        <v>4000</v>
      </c>
    </row>
    <row r="6" spans="1:7" x14ac:dyDescent="0.35">
      <c r="A6" s="6">
        <v>3</v>
      </c>
      <c r="B6">
        <v>108000</v>
      </c>
      <c r="C6">
        <v>12000</v>
      </c>
      <c r="D6">
        <v>5000</v>
      </c>
      <c r="E6">
        <v>4000</v>
      </c>
      <c r="F6">
        <v>6000</v>
      </c>
      <c r="G6">
        <v>4000</v>
      </c>
    </row>
    <row r="7" spans="1:7" x14ac:dyDescent="0.35">
      <c r="A7" s="6">
        <v>4</v>
      </c>
      <c r="B7">
        <v>107000</v>
      </c>
      <c r="C7">
        <v>12000</v>
      </c>
      <c r="D7">
        <v>10000</v>
      </c>
      <c r="E7">
        <v>4000</v>
      </c>
      <c r="F7">
        <v>6000</v>
      </c>
      <c r="G7">
        <v>4000</v>
      </c>
    </row>
    <row r="8" spans="1:7" x14ac:dyDescent="0.35">
      <c r="A8" s="6">
        <v>5</v>
      </c>
      <c r="B8">
        <v>111100</v>
      </c>
      <c r="C8">
        <v>12000</v>
      </c>
      <c r="D8">
        <v>4000</v>
      </c>
      <c r="E8">
        <v>4000</v>
      </c>
      <c r="F8">
        <v>6000</v>
      </c>
      <c r="G8">
        <v>4000</v>
      </c>
    </row>
    <row r="9" spans="1:7" x14ac:dyDescent="0.35">
      <c r="A9" s="6">
        <v>6</v>
      </c>
      <c r="B9">
        <v>111100</v>
      </c>
      <c r="C9">
        <v>15000</v>
      </c>
      <c r="D9">
        <v>4000</v>
      </c>
      <c r="E9">
        <v>4000</v>
      </c>
      <c r="F9">
        <v>8000</v>
      </c>
      <c r="G9">
        <v>4000</v>
      </c>
    </row>
    <row r="10" spans="1:7" x14ac:dyDescent="0.35">
      <c r="A10" s="6">
        <v>7</v>
      </c>
      <c r="B10">
        <v>110000</v>
      </c>
      <c r="C10">
        <v>15000</v>
      </c>
      <c r="D10">
        <v>8000</v>
      </c>
      <c r="E10">
        <v>4000</v>
      </c>
      <c r="F10">
        <v>8000</v>
      </c>
      <c r="G10">
        <v>4000</v>
      </c>
    </row>
    <row r="11" spans="1:7" x14ac:dyDescent="0.35">
      <c r="A11" s="6">
        <v>8</v>
      </c>
      <c r="B11">
        <v>117000</v>
      </c>
      <c r="C11">
        <v>15000</v>
      </c>
      <c r="D11">
        <v>6000</v>
      </c>
      <c r="E11">
        <v>4000</v>
      </c>
      <c r="F11">
        <v>8000</v>
      </c>
      <c r="G11">
        <v>4000</v>
      </c>
    </row>
    <row r="12" spans="1:7" x14ac:dyDescent="0.35">
      <c r="A12" s="6">
        <v>9</v>
      </c>
      <c r="B12">
        <v>118000</v>
      </c>
      <c r="C12">
        <v>15000</v>
      </c>
      <c r="D12">
        <v>3000</v>
      </c>
      <c r="E12">
        <v>4000</v>
      </c>
      <c r="F12">
        <v>8000</v>
      </c>
      <c r="G12">
        <v>4000</v>
      </c>
    </row>
    <row r="13" spans="1:7" x14ac:dyDescent="0.35">
      <c r="A13" s="6">
        <v>10</v>
      </c>
      <c r="B13">
        <v>110000</v>
      </c>
      <c r="C13">
        <v>15000</v>
      </c>
      <c r="D13">
        <v>10000</v>
      </c>
      <c r="E13">
        <v>4000</v>
      </c>
      <c r="F13">
        <v>8000</v>
      </c>
      <c r="G13">
        <v>4000</v>
      </c>
    </row>
    <row r="14" spans="1:7" x14ac:dyDescent="0.35">
      <c r="A14" s="6">
        <v>11</v>
      </c>
      <c r="B14">
        <v>117000</v>
      </c>
      <c r="C14">
        <v>15000</v>
      </c>
      <c r="D14">
        <v>3000</v>
      </c>
      <c r="E14">
        <v>4000</v>
      </c>
      <c r="F14">
        <v>8000</v>
      </c>
      <c r="G14">
        <v>4000</v>
      </c>
    </row>
    <row r="15" spans="1:7" x14ac:dyDescent="0.35">
      <c r="A15" s="6">
        <v>12</v>
      </c>
      <c r="B15">
        <v>117000</v>
      </c>
      <c r="C15">
        <v>15000</v>
      </c>
      <c r="D15">
        <v>7000</v>
      </c>
      <c r="E15">
        <v>4000</v>
      </c>
      <c r="F15">
        <v>8000</v>
      </c>
      <c r="G15">
        <v>4000</v>
      </c>
    </row>
    <row r="16" spans="1:7" x14ac:dyDescent="0.35">
      <c r="A16" s="6" t="s">
        <v>18</v>
      </c>
      <c r="B16">
        <v>1340200</v>
      </c>
      <c r="C16">
        <v>165000</v>
      </c>
      <c r="D16">
        <v>75000</v>
      </c>
      <c r="E16">
        <v>48000</v>
      </c>
      <c r="F16">
        <v>86000</v>
      </c>
      <c r="G16">
        <v>48000</v>
      </c>
    </row>
    <row r="17" spans="1:7" x14ac:dyDescent="0.35">
      <c r="A17" s="6"/>
    </row>
    <row r="18" spans="1:7" x14ac:dyDescent="0.35">
      <c r="A18" s="5" t="s">
        <v>12</v>
      </c>
      <c r="B18" t="s">
        <v>7</v>
      </c>
    </row>
    <row r="20" spans="1:7" x14ac:dyDescent="0.35">
      <c r="A20" s="5" t="s">
        <v>17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</row>
    <row r="21" spans="1:7" x14ac:dyDescent="0.35">
      <c r="A21" s="6">
        <v>1</v>
      </c>
      <c r="B21">
        <v>106950</v>
      </c>
      <c r="C21">
        <v>15600</v>
      </c>
      <c r="D21">
        <v>9820</v>
      </c>
      <c r="E21">
        <v>3200</v>
      </c>
      <c r="F21">
        <v>5500</v>
      </c>
      <c r="G21">
        <v>3200</v>
      </c>
    </row>
    <row r="22" spans="1:7" x14ac:dyDescent="0.35">
      <c r="A22" s="6">
        <v>2</v>
      </c>
      <c r="B22">
        <v>109000</v>
      </c>
      <c r="C22">
        <v>11698</v>
      </c>
      <c r="D22">
        <v>3556</v>
      </c>
      <c r="E22">
        <v>2300</v>
      </c>
      <c r="F22">
        <v>6500</v>
      </c>
      <c r="G22">
        <v>2800</v>
      </c>
    </row>
    <row r="23" spans="1:7" x14ac:dyDescent="0.35">
      <c r="A23" s="6">
        <v>3</v>
      </c>
      <c r="B23">
        <v>108500</v>
      </c>
      <c r="C23">
        <v>13453</v>
      </c>
      <c r="D23">
        <v>6800</v>
      </c>
      <c r="E23">
        <v>5300</v>
      </c>
      <c r="F23">
        <v>0</v>
      </c>
      <c r="G23">
        <v>7800</v>
      </c>
    </row>
    <row r="24" spans="1:7" x14ac:dyDescent="0.35">
      <c r="A24" s="6">
        <v>4</v>
      </c>
      <c r="B24">
        <v>109900</v>
      </c>
      <c r="C24">
        <v>15790</v>
      </c>
      <c r="D24">
        <v>11400</v>
      </c>
      <c r="E24">
        <v>2200</v>
      </c>
      <c r="F24">
        <v>4000</v>
      </c>
      <c r="G24">
        <v>5700</v>
      </c>
    </row>
    <row r="25" spans="1:7" x14ac:dyDescent="0.35">
      <c r="A25" s="6">
        <v>5</v>
      </c>
      <c r="B25">
        <v>111760</v>
      </c>
      <c r="C25">
        <v>11508</v>
      </c>
      <c r="D25">
        <v>2900</v>
      </c>
      <c r="E25">
        <v>1200</v>
      </c>
      <c r="F25">
        <v>6000</v>
      </c>
      <c r="G25">
        <v>4600</v>
      </c>
    </row>
    <row r="26" spans="1:7" x14ac:dyDescent="0.35">
      <c r="A26" s="6">
        <v>6</v>
      </c>
      <c r="B26">
        <v>111760</v>
      </c>
      <c r="C26">
        <v>15500</v>
      </c>
      <c r="D26">
        <v>3500</v>
      </c>
      <c r="E26">
        <v>4200</v>
      </c>
      <c r="F26">
        <v>6500</v>
      </c>
      <c r="G26">
        <v>5500</v>
      </c>
    </row>
    <row r="27" spans="1:7" x14ac:dyDescent="0.35">
      <c r="A27" s="6">
        <v>7</v>
      </c>
      <c r="B27">
        <v>102000</v>
      </c>
      <c r="C27">
        <v>14333</v>
      </c>
      <c r="D27">
        <v>3000</v>
      </c>
      <c r="E27">
        <v>2900</v>
      </c>
      <c r="F27">
        <v>7500</v>
      </c>
      <c r="G27">
        <v>4000</v>
      </c>
    </row>
    <row r="28" spans="1:7" x14ac:dyDescent="0.35">
      <c r="A28" s="6">
        <v>8</v>
      </c>
      <c r="B28">
        <v>108100</v>
      </c>
      <c r="C28">
        <v>16500</v>
      </c>
      <c r="D28">
        <v>5800</v>
      </c>
      <c r="E28">
        <v>4300</v>
      </c>
      <c r="F28">
        <v>6000</v>
      </c>
      <c r="G28">
        <v>3100</v>
      </c>
    </row>
    <row r="29" spans="1:7" x14ac:dyDescent="0.35">
      <c r="A29" s="6">
        <v>9</v>
      </c>
      <c r="B29">
        <v>114070</v>
      </c>
      <c r="C29">
        <v>10900</v>
      </c>
      <c r="D29">
        <v>3000</v>
      </c>
      <c r="E29">
        <v>2700</v>
      </c>
      <c r="F29">
        <v>7000</v>
      </c>
      <c r="G29">
        <v>2400</v>
      </c>
    </row>
    <row r="30" spans="1:7" x14ac:dyDescent="0.35">
      <c r="A30" s="6">
        <v>10</v>
      </c>
      <c r="B30">
        <v>104040</v>
      </c>
      <c r="C30">
        <v>17800</v>
      </c>
      <c r="D30">
        <v>9800</v>
      </c>
      <c r="E30">
        <v>3700</v>
      </c>
      <c r="F30">
        <v>5500</v>
      </c>
      <c r="G30">
        <v>1398</v>
      </c>
    </row>
    <row r="31" spans="1:7" x14ac:dyDescent="0.35">
      <c r="A31" s="6">
        <v>11</v>
      </c>
      <c r="B31">
        <v>115555</v>
      </c>
      <c r="C31">
        <v>16800</v>
      </c>
      <c r="D31">
        <v>2900</v>
      </c>
      <c r="E31">
        <v>4500</v>
      </c>
      <c r="F31">
        <v>6000</v>
      </c>
      <c r="G31">
        <v>5399</v>
      </c>
    </row>
    <row r="32" spans="1:7" x14ac:dyDescent="0.35">
      <c r="A32" s="6">
        <v>12</v>
      </c>
      <c r="B32">
        <v>113000</v>
      </c>
      <c r="C32">
        <v>14200</v>
      </c>
      <c r="D32">
        <v>7200</v>
      </c>
      <c r="E32">
        <v>4800</v>
      </c>
      <c r="F32">
        <v>7500</v>
      </c>
      <c r="G32">
        <v>4590</v>
      </c>
    </row>
    <row r="33" spans="1:7" x14ac:dyDescent="0.35">
      <c r="A33" s="6" t="s">
        <v>18</v>
      </c>
      <c r="B33">
        <v>1314635</v>
      </c>
      <c r="C33">
        <v>174082</v>
      </c>
      <c r="D33">
        <v>69676</v>
      </c>
      <c r="E33">
        <v>41300</v>
      </c>
      <c r="F33">
        <v>68000</v>
      </c>
      <c r="G33">
        <v>50487</v>
      </c>
    </row>
  </sheetData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9041-7864-4212-BC86-13A6D40A0944}">
  <dimension ref="A2:G84"/>
  <sheetViews>
    <sheetView topLeftCell="A73" workbookViewId="0">
      <selection activeCell="A77" sqref="A77:C83"/>
    </sheetView>
  </sheetViews>
  <sheetFormatPr defaultRowHeight="15.6" x14ac:dyDescent="0.35"/>
  <cols>
    <col min="1" max="2" width="18.5546875" bestFit="1" customWidth="1"/>
    <col min="3" max="3" width="16.77734375" bestFit="1" customWidth="1"/>
    <col min="4" max="4" width="19.21875" bestFit="1" customWidth="1"/>
    <col min="5" max="6" width="14.21875" bestFit="1" customWidth="1"/>
    <col min="7" max="7" width="13.44140625" bestFit="1" customWidth="1"/>
  </cols>
  <sheetData>
    <row r="2" spans="1:7" x14ac:dyDescent="0.35">
      <c r="A2" s="4" t="s">
        <v>0</v>
      </c>
      <c r="B2" s="4" t="s">
        <v>13</v>
      </c>
      <c r="C2" s="4" t="s">
        <v>8</v>
      </c>
      <c r="D2" s="4" t="s">
        <v>7</v>
      </c>
      <c r="E2" s="4" t="s">
        <v>14</v>
      </c>
      <c r="F2" s="4" t="s">
        <v>15</v>
      </c>
      <c r="G2" s="4" t="s">
        <v>16</v>
      </c>
    </row>
    <row r="3" spans="1:7" x14ac:dyDescent="0.35">
      <c r="A3" s="4">
        <f>Pivot!A4</f>
        <v>1</v>
      </c>
      <c r="B3" s="4" t="s">
        <v>3</v>
      </c>
      <c r="C3" s="4">
        <f>Pivot!B4</f>
        <v>107000</v>
      </c>
      <c r="D3" s="4">
        <f>VLOOKUP(A3,Pivot!$A$21:$G$32,2,0)</f>
        <v>106950</v>
      </c>
      <c r="E3" s="4">
        <f>D3-C3</f>
        <v>-50</v>
      </c>
      <c r="F3" s="7">
        <f>E3/C3</f>
        <v>-4.6728971962616824E-4</v>
      </c>
      <c r="G3" s="4" t="str">
        <f>IF(F3&gt;0.1,"Over Budget",IF(F3&lt;-0.1,"Under Budget","On Track"))</f>
        <v>On Track</v>
      </c>
    </row>
    <row r="4" spans="1:7" x14ac:dyDescent="0.35">
      <c r="A4" s="4">
        <f>Pivot!A5</f>
        <v>2</v>
      </c>
      <c r="B4" s="4" t="s">
        <v>3</v>
      </c>
      <c r="C4" s="4">
        <f>Pivot!B5</f>
        <v>107000</v>
      </c>
      <c r="D4" s="4">
        <f>VLOOKUP(A4,Pivot!$A$21:$G$32,2,0)</f>
        <v>109000</v>
      </c>
      <c r="E4" s="4">
        <f t="shared" ref="E4:E14" si="0">D4-C4</f>
        <v>2000</v>
      </c>
      <c r="F4" s="7">
        <f t="shared" ref="F4:F14" si="1">E4/C4</f>
        <v>1.8691588785046728E-2</v>
      </c>
      <c r="G4" s="4" t="str">
        <f t="shared" ref="G4:G67" si="2">IF(F4&gt;0.1,"Over Budget",IF(F4&lt;-0.1,"Under Budget","On Track"))</f>
        <v>On Track</v>
      </c>
    </row>
    <row r="5" spans="1:7" x14ac:dyDescent="0.35">
      <c r="A5" s="4">
        <f>Pivot!A6</f>
        <v>3</v>
      </c>
      <c r="B5" s="4" t="s">
        <v>3</v>
      </c>
      <c r="C5" s="4">
        <f>Pivot!B6</f>
        <v>108000</v>
      </c>
      <c r="D5" s="4">
        <f>VLOOKUP(A5,Pivot!$A$21:$G$32,2,0)</f>
        <v>108500</v>
      </c>
      <c r="E5" s="4">
        <f t="shared" si="0"/>
        <v>500</v>
      </c>
      <c r="F5" s="7">
        <f t="shared" si="1"/>
        <v>4.6296296296296294E-3</v>
      </c>
      <c r="G5" s="4" t="str">
        <f t="shared" si="2"/>
        <v>On Track</v>
      </c>
    </row>
    <row r="6" spans="1:7" x14ac:dyDescent="0.35">
      <c r="A6" s="4">
        <f>Pivot!A7</f>
        <v>4</v>
      </c>
      <c r="B6" s="4" t="s">
        <v>3</v>
      </c>
      <c r="C6" s="4">
        <f>Pivot!B7</f>
        <v>107000</v>
      </c>
      <c r="D6" s="4">
        <f>VLOOKUP(A6,Pivot!$A$21:$G$32,2,0)</f>
        <v>109900</v>
      </c>
      <c r="E6" s="4">
        <f t="shared" si="0"/>
        <v>2900</v>
      </c>
      <c r="F6" s="7">
        <f t="shared" si="1"/>
        <v>2.7102803738317756E-2</v>
      </c>
      <c r="G6" s="4" t="str">
        <f t="shared" si="2"/>
        <v>On Track</v>
      </c>
    </row>
    <row r="7" spans="1:7" x14ac:dyDescent="0.35">
      <c r="A7" s="4">
        <f>Pivot!A8</f>
        <v>5</v>
      </c>
      <c r="B7" s="4" t="s">
        <v>3</v>
      </c>
      <c r="C7" s="4">
        <f>Pivot!B8</f>
        <v>111100</v>
      </c>
      <c r="D7" s="4">
        <f>VLOOKUP(A7,Pivot!$A$21:$G$32,2,0)</f>
        <v>111760</v>
      </c>
      <c r="E7" s="4">
        <f t="shared" si="0"/>
        <v>660</v>
      </c>
      <c r="F7" s="7">
        <f t="shared" si="1"/>
        <v>5.9405940594059407E-3</v>
      </c>
      <c r="G7" s="4" t="str">
        <f t="shared" si="2"/>
        <v>On Track</v>
      </c>
    </row>
    <row r="8" spans="1:7" x14ac:dyDescent="0.35">
      <c r="A8" s="4">
        <f>Pivot!A9</f>
        <v>6</v>
      </c>
      <c r="B8" s="4" t="s">
        <v>3</v>
      </c>
      <c r="C8" s="4">
        <f>Pivot!B9</f>
        <v>111100</v>
      </c>
      <c r="D8" s="4">
        <f>VLOOKUP(A8,Pivot!$A$21:$G$32,2,0)</f>
        <v>111760</v>
      </c>
      <c r="E8" s="4">
        <f t="shared" si="0"/>
        <v>660</v>
      </c>
      <c r="F8" s="7">
        <f t="shared" si="1"/>
        <v>5.9405940594059407E-3</v>
      </c>
      <c r="G8" s="4" t="str">
        <f t="shared" si="2"/>
        <v>On Track</v>
      </c>
    </row>
    <row r="9" spans="1:7" x14ac:dyDescent="0.35">
      <c r="A9" s="4">
        <f>Pivot!A10</f>
        <v>7</v>
      </c>
      <c r="B9" s="4" t="s">
        <v>3</v>
      </c>
      <c r="C9" s="4">
        <f>Pivot!B10</f>
        <v>110000</v>
      </c>
      <c r="D9" s="4">
        <f>VLOOKUP(A9,Pivot!$A$21:$G$32,2,0)</f>
        <v>102000</v>
      </c>
      <c r="E9" s="4">
        <f t="shared" si="0"/>
        <v>-8000</v>
      </c>
      <c r="F9" s="7">
        <f t="shared" si="1"/>
        <v>-7.2727272727272724E-2</v>
      </c>
      <c r="G9" s="4" t="str">
        <f t="shared" si="2"/>
        <v>On Track</v>
      </c>
    </row>
    <row r="10" spans="1:7" x14ac:dyDescent="0.35">
      <c r="A10" s="4">
        <f>Pivot!A11</f>
        <v>8</v>
      </c>
      <c r="B10" s="4" t="s">
        <v>3</v>
      </c>
      <c r="C10" s="4">
        <f>Pivot!B11</f>
        <v>117000</v>
      </c>
      <c r="D10" s="4">
        <f>VLOOKUP(A10,Pivot!$A$21:$G$32,2,0)</f>
        <v>108100</v>
      </c>
      <c r="E10" s="4">
        <f t="shared" si="0"/>
        <v>-8900</v>
      </c>
      <c r="F10" s="7">
        <f t="shared" si="1"/>
        <v>-7.6068376068376062E-2</v>
      </c>
      <c r="G10" s="4" t="str">
        <f t="shared" si="2"/>
        <v>On Track</v>
      </c>
    </row>
    <row r="11" spans="1:7" x14ac:dyDescent="0.35">
      <c r="A11" s="4">
        <f>Pivot!A12</f>
        <v>9</v>
      </c>
      <c r="B11" s="4" t="s">
        <v>3</v>
      </c>
      <c r="C11" s="4">
        <f>Pivot!B12</f>
        <v>118000</v>
      </c>
      <c r="D11" s="4">
        <f>VLOOKUP(A11,Pivot!$A$21:$G$32,2,0)</f>
        <v>114070</v>
      </c>
      <c r="E11" s="4">
        <f t="shared" si="0"/>
        <v>-3930</v>
      </c>
      <c r="F11" s="7">
        <f t="shared" si="1"/>
        <v>-3.3305084745762714E-2</v>
      </c>
      <c r="G11" s="4" t="str">
        <f t="shared" si="2"/>
        <v>On Track</v>
      </c>
    </row>
    <row r="12" spans="1:7" x14ac:dyDescent="0.35">
      <c r="A12" s="4">
        <f>Pivot!A13</f>
        <v>10</v>
      </c>
      <c r="B12" s="4" t="s">
        <v>3</v>
      </c>
      <c r="C12" s="4">
        <f>Pivot!B13</f>
        <v>110000</v>
      </c>
      <c r="D12" s="4">
        <f>VLOOKUP(A12,Pivot!$A$21:$G$32,2,0)</f>
        <v>104040</v>
      </c>
      <c r="E12" s="4">
        <f t="shared" si="0"/>
        <v>-5960</v>
      </c>
      <c r="F12" s="7">
        <f t="shared" si="1"/>
        <v>-5.4181818181818185E-2</v>
      </c>
      <c r="G12" s="4" t="str">
        <f t="shared" si="2"/>
        <v>On Track</v>
      </c>
    </row>
    <row r="13" spans="1:7" x14ac:dyDescent="0.35">
      <c r="A13" s="4">
        <f>Pivot!A14</f>
        <v>11</v>
      </c>
      <c r="B13" s="4" t="s">
        <v>3</v>
      </c>
      <c r="C13" s="4">
        <f>Pivot!B14</f>
        <v>117000</v>
      </c>
      <c r="D13" s="4">
        <f>VLOOKUP(A13,Pivot!$A$21:$G$32,2,0)</f>
        <v>115555</v>
      </c>
      <c r="E13" s="4">
        <f t="shared" si="0"/>
        <v>-1445</v>
      </c>
      <c r="F13" s="7">
        <f t="shared" si="1"/>
        <v>-1.2350427350427351E-2</v>
      </c>
      <c r="G13" s="4" t="str">
        <f t="shared" si="2"/>
        <v>On Track</v>
      </c>
    </row>
    <row r="14" spans="1:7" x14ac:dyDescent="0.35">
      <c r="A14" s="4">
        <f>Pivot!A15</f>
        <v>12</v>
      </c>
      <c r="B14" s="4" t="s">
        <v>3</v>
      </c>
      <c r="C14" s="4">
        <f>Pivot!B15</f>
        <v>117000</v>
      </c>
      <c r="D14" s="4">
        <f>VLOOKUP(A14,Pivot!$A$21:$G$32,2,0)</f>
        <v>113000</v>
      </c>
      <c r="E14" s="4">
        <f t="shared" si="0"/>
        <v>-4000</v>
      </c>
      <c r="F14" s="7">
        <f t="shared" si="1"/>
        <v>-3.4188034188034191E-2</v>
      </c>
      <c r="G14" s="4" t="str">
        <f t="shared" si="2"/>
        <v>On Track</v>
      </c>
    </row>
    <row r="15" spans="1:7" x14ac:dyDescent="0.35">
      <c r="A15" s="4">
        <f>Pivot!A4</f>
        <v>1</v>
      </c>
      <c r="B15" s="4" t="s">
        <v>10</v>
      </c>
      <c r="C15" s="4">
        <f>Pivot!C4</f>
        <v>12000</v>
      </c>
      <c r="D15" s="4">
        <f>VLOOKUP(A3,Pivot!$A$21:$G$32,3,0)</f>
        <v>15600</v>
      </c>
      <c r="E15" s="4">
        <f t="shared" ref="E15" si="3">D15-C15</f>
        <v>3600</v>
      </c>
      <c r="F15" s="7">
        <f t="shared" ref="F15" si="4">E15/C15</f>
        <v>0.3</v>
      </c>
      <c r="G15" s="4" t="str">
        <f t="shared" si="2"/>
        <v>Over Budget</v>
      </c>
    </row>
    <row r="16" spans="1:7" x14ac:dyDescent="0.35">
      <c r="A16" s="4">
        <f>Pivot!A5</f>
        <v>2</v>
      </c>
      <c r="B16" s="4" t="s">
        <v>10</v>
      </c>
      <c r="C16" s="4">
        <f>Pivot!C5</f>
        <v>12000</v>
      </c>
      <c r="D16" s="4">
        <f>VLOOKUP(A4,Pivot!$A$21:$G$32,3,0)</f>
        <v>11698</v>
      </c>
      <c r="E16" s="4">
        <f t="shared" ref="E16:E26" si="5">D16-C16</f>
        <v>-302</v>
      </c>
      <c r="F16" s="7">
        <f t="shared" ref="F16:F26" si="6">E16/C16</f>
        <v>-2.5166666666666667E-2</v>
      </c>
      <c r="G16" s="4" t="str">
        <f t="shared" si="2"/>
        <v>On Track</v>
      </c>
    </row>
    <row r="17" spans="1:7" x14ac:dyDescent="0.35">
      <c r="A17" s="4">
        <f>Pivot!A6</f>
        <v>3</v>
      </c>
      <c r="B17" s="4" t="s">
        <v>10</v>
      </c>
      <c r="C17" s="4">
        <f>Pivot!C6</f>
        <v>12000</v>
      </c>
      <c r="D17" s="4">
        <f>VLOOKUP(A5,Pivot!$A$21:$G$32,3,0)</f>
        <v>13453</v>
      </c>
      <c r="E17" s="4">
        <f t="shared" si="5"/>
        <v>1453</v>
      </c>
      <c r="F17" s="7">
        <f t="shared" si="6"/>
        <v>0.12108333333333333</v>
      </c>
      <c r="G17" s="4" t="str">
        <f t="shared" si="2"/>
        <v>Over Budget</v>
      </c>
    </row>
    <row r="18" spans="1:7" x14ac:dyDescent="0.35">
      <c r="A18" s="4">
        <f>Pivot!A7</f>
        <v>4</v>
      </c>
      <c r="B18" s="4" t="s">
        <v>10</v>
      </c>
      <c r="C18" s="4">
        <f>Pivot!C7</f>
        <v>12000</v>
      </c>
      <c r="D18" s="4">
        <f>VLOOKUP(A6,Pivot!$A$21:$G$32,3,0)</f>
        <v>15790</v>
      </c>
      <c r="E18" s="4">
        <f t="shared" si="5"/>
        <v>3790</v>
      </c>
      <c r="F18" s="7">
        <f t="shared" si="6"/>
        <v>0.31583333333333335</v>
      </c>
      <c r="G18" s="4" t="str">
        <f t="shared" si="2"/>
        <v>Over Budget</v>
      </c>
    </row>
    <row r="19" spans="1:7" x14ac:dyDescent="0.35">
      <c r="A19" s="4">
        <f>Pivot!A8</f>
        <v>5</v>
      </c>
      <c r="B19" s="4" t="s">
        <v>10</v>
      </c>
      <c r="C19" s="4">
        <f>Pivot!C8</f>
        <v>12000</v>
      </c>
      <c r="D19" s="4">
        <f>VLOOKUP(A7,Pivot!$A$21:$G$32,3,0)</f>
        <v>11508</v>
      </c>
      <c r="E19" s="4">
        <f t="shared" si="5"/>
        <v>-492</v>
      </c>
      <c r="F19" s="7">
        <f t="shared" si="6"/>
        <v>-4.1000000000000002E-2</v>
      </c>
      <c r="G19" s="4" t="str">
        <f t="shared" si="2"/>
        <v>On Track</v>
      </c>
    </row>
    <row r="20" spans="1:7" x14ac:dyDescent="0.35">
      <c r="A20" s="4">
        <f>Pivot!A9</f>
        <v>6</v>
      </c>
      <c r="B20" s="4" t="s">
        <v>10</v>
      </c>
      <c r="C20" s="4">
        <f>Pivot!C9</f>
        <v>15000</v>
      </c>
      <c r="D20" s="4">
        <f>VLOOKUP(A8,Pivot!$A$21:$G$32,3,0)</f>
        <v>15500</v>
      </c>
      <c r="E20" s="4">
        <f t="shared" si="5"/>
        <v>500</v>
      </c>
      <c r="F20" s="7">
        <f t="shared" si="6"/>
        <v>3.3333333333333333E-2</v>
      </c>
      <c r="G20" s="4" t="str">
        <f t="shared" si="2"/>
        <v>On Track</v>
      </c>
    </row>
    <row r="21" spans="1:7" x14ac:dyDescent="0.35">
      <c r="A21" s="4">
        <f>Pivot!A10</f>
        <v>7</v>
      </c>
      <c r="B21" s="4" t="s">
        <v>10</v>
      </c>
      <c r="C21" s="4">
        <f>Pivot!C10</f>
        <v>15000</v>
      </c>
      <c r="D21" s="4">
        <f>VLOOKUP(A9,Pivot!$A$21:$G$32,3,0)</f>
        <v>14333</v>
      </c>
      <c r="E21" s="4">
        <f t="shared" si="5"/>
        <v>-667</v>
      </c>
      <c r="F21" s="7">
        <f t="shared" si="6"/>
        <v>-4.4466666666666668E-2</v>
      </c>
      <c r="G21" s="4" t="str">
        <f t="shared" si="2"/>
        <v>On Track</v>
      </c>
    </row>
    <row r="22" spans="1:7" x14ac:dyDescent="0.35">
      <c r="A22" s="4">
        <f>Pivot!A11</f>
        <v>8</v>
      </c>
      <c r="B22" s="4" t="s">
        <v>10</v>
      </c>
      <c r="C22" s="4">
        <f>Pivot!C11</f>
        <v>15000</v>
      </c>
      <c r="D22" s="4">
        <f>VLOOKUP(A10,Pivot!$A$21:$G$32,3,0)</f>
        <v>16500</v>
      </c>
      <c r="E22" s="4">
        <f t="shared" si="5"/>
        <v>1500</v>
      </c>
      <c r="F22" s="7">
        <f t="shared" si="6"/>
        <v>0.1</v>
      </c>
      <c r="G22" s="4" t="str">
        <f t="shared" si="2"/>
        <v>On Track</v>
      </c>
    </row>
    <row r="23" spans="1:7" x14ac:dyDescent="0.35">
      <c r="A23" s="4">
        <f>Pivot!A12</f>
        <v>9</v>
      </c>
      <c r="B23" s="4" t="s">
        <v>10</v>
      </c>
      <c r="C23" s="4">
        <f>Pivot!C12</f>
        <v>15000</v>
      </c>
      <c r="D23" s="4">
        <f>VLOOKUP(A11,Pivot!$A$21:$G$32,3,0)</f>
        <v>10900</v>
      </c>
      <c r="E23" s="4">
        <f t="shared" si="5"/>
        <v>-4100</v>
      </c>
      <c r="F23" s="7">
        <f t="shared" si="6"/>
        <v>-0.27333333333333332</v>
      </c>
      <c r="G23" s="4" t="str">
        <f t="shared" si="2"/>
        <v>Under Budget</v>
      </c>
    </row>
    <row r="24" spans="1:7" x14ac:dyDescent="0.35">
      <c r="A24" s="4">
        <f>Pivot!A13</f>
        <v>10</v>
      </c>
      <c r="B24" s="4" t="s">
        <v>10</v>
      </c>
      <c r="C24" s="4">
        <f>Pivot!C13</f>
        <v>15000</v>
      </c>
      <c r="D24" s="4">
        <f>VLOOKUP(A12,Pivot!$A$21:$G$32,3,0)</f>
        <v>17800</v>
      </c>
      <c r="E24" s="4">
        <f t="shared" si="5"/>
        <v>2800</v>
      </c>
      <c r="F24" s="7">
        <f t="shared" si="6"/>
        <v>0.18666666666666668</v>
      </c>
      <c r="G24" s="4" t="str">
        <f t="shared" si="2"/>
        <v>Over Budget</v>
      </c>
    </row>
    <row r="25" spans="1:7" x14ac:dyDescent="0.35">
      <c r="A25" s="4">
        <f>Pivot!A14</f>
        <v>11</v>
      </c>
      <c r="B25" s="4" t="s">
        <v>10</v>
      </c>
      <c r="C25" s="4">
        <f>Pivot!C14</f>
        <v>15000</v>
      </c>
      <c r="D25" s="4">
        <f>VLOOKUP(A13,Pivot!$A$21:$G$32,3,0)</f>
        <v>16800</v>
      </c>
      <c r="E25" s="4">
        <f t="shared" si="5"/>
        <v>1800</v>
      </c>
      <c r="F25" s="7">
        <f t="shared" si="6"/>
        <v>0.12</v>
      </c>
      <c r="G25" s="4" t="str">
        <f t="shared" si="2"/>
        <v>Over Budget</v>
      </c>
    </row>
    <row r="26" spans="1:7" x14ac:dyDescent="0.35">
      <c r="A26" s="4">
        <f>Pivot!A15</f>
        <v>12</v>
      </c>
      <c r="B26" s="4" t="s">
        <v>10</v>
      </c>
      <c r="C26" s="4">
        <f>Pivot!C15</f>
        <v>15000</v>
      </c>
      <c r="D26" s="4">
        <f>VLOOKUP(A14,Pivot!$A$21:$G$32,3,0)</f>
        <v>14200</v>
      </c>
      <c r="E26" s="4">
        <f t="shared" si="5"/>
        <v>-800</v>
      </c>
      <c r="F26" s="7">
        <f t="shared" si="6"/>
        <v>-5.3333333333333337E-2</v>
      </c>
      <c r="G26" s="4" t="str">
        <f t="shared" si="2"/>
        <v>On Track</v>
      </c>
    </row>
    <row r="27" spans="1:7" x14ac:dyDescent="0.35">
      <c r="A27" s="4">
        <f>Pivot!A4</f>
        <v>1</v>
      </c>
      <c r="B27" s="4" t="s">
        <v>1</v>
      </c>
      <c r="C27" s="4">
        <f>Pivot!D4</f>
        <v>10000</v>
      </c>
      <c r="D27" s="4">
        <f>VLOOKUP(A3,Pivot!$A$21:$G$32,4,0)</f>
        <v>9820</v>
      </c>
      <c r="E27" s="4">
        <f t="shared" ref="E27:E74" si="7">D27-C27</f>
        <v>-180</v>
      </c>
      <c r="F27" s="7">
        <f t="shared" ref="F27:F74" si="8">E27/C27</f>
        <v>-1.7999999999999999E-2</v>
      </c>
      <c r="G27" s="4" t="str">
        <f t="shared" si="2"/>
        <v>On Track</v>
      </c>
    </row>
    <row r="28" spans="1:7" x14ac:dyDescent="0.35">
      <c r="A28" s="4">
        <f>Pivot!A5</f>
        <v>2</v>
      </c>
      <c r="B28" s="4" t="s">
        <v>1</v>
      </c>
      <c r="C28" s="4">
        <f>Pivot!D5</f>
        <v>5000</v>
      </c>
      <c r="D28" s="4">
        <f>VLOOKUP(A4,Pivot!$A$21:$G$32,4,0)</f>
        <v>3556</v>
      </c>
      <c r="E28" s="4">
        <f t="shared" si="7"/>
        <v>-1444</v>
      </c>
      <c r="F28" s="7">
        <f t="shared" si="8"/>
        <v>-0.2888</v>
      </c>
      <c r="G28" s="4" t="str">
        <f t="shared" si="2"/>
        <v>Under Budget</v>
      </c>
    </row>
    <row r="29" spans="1:7" x14ac:dyDescent="0.35">
      <c r="A29" s="4">
        <f>Pivot!A6</f>
        <v>3</v>
      </c>
      <c r="B29" s="4" t="s">
        <v>1</v>
      </c>
      <c r="C29" s="4">
        <f>Pivot!D6</f>
        <v>5000</v>
      </c>
      <c r="D29" s="4">
        <f>VLOOKUP(A5,Pivot!$A$21:$G$32,4,0)</f>
        <v>6800</v>
      </c>
      <c r="E29" s="4">
        <f t="shared" si="7"/>
        <v>1800</v>
      </c>
      <c r="F29" s="7">
        <f t="shared" si="8"/>
        <v>0.36</v>
      </c>
      <c r="G29" s="4" t="str">
        <f t="shared" si="2"/>
        <v>Over Budget</v>
      </c>
    </row>
    <row r="30" spans="1:7" x14ac:dyDescent="0.35">
      <c r="A30" s="4">
        <f>Pivot!A7</f>
        <v>4</v>
      </c>
      <c r="B30" s="4" t="s">
        <v>1</v>
      </c>
      <c r="C30" s="4">
        <f>Pivot!D7</f>
        <v>10000</v>
      </c>
      <c r="D30" s="4">
        <f>VLOOKUP(A6,Pivot!$A$21:$G$32,4,0)</f>
        <v>11400</v>
      </c>
      <c r="E30" s="4">
        <f t="shared" si="7"/>
        <v>1400</v>
      </c>
      <c r="F30" s="7">
        <f t="shared" si="8"/>
        <v>0.14000000000000001</v>
      </c>
      <c r="G30" s="4" t="str">
        <f t="shared" si="2"/>
        <v>Over Budget</v>
      </c>
    </row>
    <row r="31" spans="1:7" x14ac:dyDescent="0.35">
      <c r="A31" s="4">
        <f>Pivot!A8</f>
        <v>5</v>
      </c>
      <c r="B31" s="4" t="s">
        <v>1</v>
      </c>
      <c r="C31" s="4">
        <f>Pivot!D8</f>
        <v>4000</v>
      </c>
      <c r="D31" s="4">
        <f>VLOOKUP(A7,Pivot!$A$21:$G$32,4,0)</f>
        <v>2900</v>
      </c>
      <c r="E31" s="4">
        <f t="shared" si="7"/>
        <v>-1100</v>
      </c>
      <c r="F31" s="7">
        <f t="shared" si="8"/>
        <v>-0.27500000000000002</v>
      </c>
      <c r="G31" s="4" t="str">
        <f t="shared" si="2"/>
        <v>Under Budget</v>
      </c>
    </row>
    <row r="32" spans="1:7" x14ac:dyDescent="0.35">
      <c r="A32" s="4">
        <f>Pivot!A9</f>
        <v>6</v>
      </c>
      <c r="B32" s="4" t="s">
        <v>1</v>
      </c>
      <c r="C32" s="4">
        <f>Pivot!D9</f>
        <v>4000</v>
      </c>
      <c r="D32" s="4">
        <f>VLOOKUP(A8,Pivot!$A$21:$G$32,4,0)</f>
        <v>3500</v>
      </c>
      <c r="E32" s="4">
        <f t="shared" si="7"/>
        <v>-500</v>
      </c>
      <c r="F32" s="7">
        <f t="shared" si="8"/>
        <v>-0.125</v>
      </c>
      <c r="G32" s="4" t="str">
        <f t="shared" si="2"/>
        <v>Under Budget</v>
      </c>
    </row>
    <row r="33" spans="1:7" x14ac:dyDescent="0.35">
      <c r="A33" s="4">
        <f>Pivot!A10</f>
        <v>7</v>
      </c>
      <c r="B33" s="4" t="s">
        <v>1</v>
      </c>
      <c r="C33" s="4">
        <f>Pivot!D10</f>
        <v>8000</v>
      </c>
      <c r="D33" s="4">
        <f>VLOOKUP(A9,Pivot!$A$21:$G$32,4,0)</f>
        <v>3000</v>
      </c>
      <c r="E33" s="4">
        <f t="shared" si="7"/>
        <v>-5000</v>
      </c>
      <c r="F33" s="7">
        <f t="shared" si="8"/>
        <v>-0.625</v>
      </c>
      <c r="G33" s="4" t="str">
        <f t="shared" si="2"/>
        <v>Under Budget</v>
      </c>
    </row>
    <row r="34" spans="1:7" x14ac:dyDescent="0.35">
      <c r="A34" s="4">
        <f>Pivot!A11</f>
        <v>8</v>
      </c>
      <c r="B34" s="4" t="s">
        <v>1</v>
      </c>
      <c r="C34" s="4">
        <f>Pivot!D11</f>
        <v>6000</v>
      </c>
      <c r="D34" s="4">
        <f>VLOOKUP(A10,Pivot!$A$21:$G$32,4,0)</f>
        <v>5800</v>
      </c>
      <c r="E34" s="4">
        <f t="shared" si="7"/>
        <v>-200</v>
      </c>
      <c r="F34" s="7">
        <f t="shared" si="8"/>
        <v>-3.3333333333333333E-2</v>
      </c>
      <c r="G34" s="4" t="str">
        <f t="shared" si="2"/>
        <v>On Track</v>
      </c>
    </row>
    <row r="35" spans="1:7" x14ac:dyDescent="0.35">
      <c r="A35" s="4">
        <f>Pivot!A12</f>
        <v>9</v>
      </c>
      <c r="B35" s="4" t="s">
        <v>1</v>
      </c>
      <c r="C35" s="4">
        <f>Pivot!D12</f>
        <v>3000</v>
      </c>
      <c r="D35" s="4">
        <f>VLOOKUP(A11,Pivot!$A$21:$G$32,4,0)</f>
        <v>3000</v>
      </c>
      <c r="E35" s="4">
        <f t="shared" si="7"/>
        <v>0</v>
      </c>
      <c r="F35" s="7">
        <f t="shared" si="8"/>
        <v>0</v>
      </c>
      <c r="G35" s="4" t="str">
        <f t="shared" si="2"/>
        <v>On Track</v>
      </c>
    </row>
    <row r="36" spans="1:7" x14ac:dyDescent="0.35">
      <c r="A36" s="4">
        <f>Pivot!A13</f>
        <v>10</v>
      </c>
      <c r="B36" s="4" t="s">
        <v>1</v>
      </c>
      <c r="C36" s="4">
        <f>Pivot!D13</f>
        <v>10000</v>
      </c>
      <c r="D36" s="4">
        <f>VLOOKUP(A12,Pivot!$A$21:$G$32,4,0)</f>
        <v>9800</v>
      </c>
      <c r="E36" s="4">
        <f t="shared" si="7"/>
        <v>-200</v>
      </c>
      <c r="F36" s="7">
        <f t="shared" si="8"/>
        <v>-0.02</v>
      </c>
      <c r="G36" s="4" t="str">
        <f t="shared" si="2"/>
        <v>On Track</v>
      </c>
    </row>
    <row r="37" spans="1:7" x14ac:dyDescent="0.35">
      <c r="A37" s="4">
        <f>Pivot!A14</f>
        <v>11</v>
      </c>
      <c r="B37" s="4" t="s">
        <v>1</v>
      </c>
      <c r="C37" s="4">
        <f>Pivot!D14</f>
        <v>3000</v>
      </c>
      <c r="D37" s="4">
        <f>VLOOKUP(A13,Pivot!$A$21:$G$32,4,0)</f>
        <v>2900</v>
      </c>
      <c r="E37" s="4">
        <f t="shared" si="7"/>
        <v>-100</v>
      </c>
      <c r="F37" s="7">
        <f t="shared" si="8"/>
        <v>-3.3333333333333333E-2</v>
      </c>
      <c r="G37" s="4" t="str">
        <f t="shared" si="2"/>
        <v>On Track</v>
      </c>
    </row>
    <row r="38" spans="1:7" x14ac:dyDescent="0.35">
      <c r="A38" s="4">
        <f>Pivot!A15</f>
        <v>12</v>
      </c>
      <c r="B38" s="4" t="s">
        <v>1</v>
      </c>
      <c r="C38" s="4">
        <f>Pivot!D15</f>
        <v>7000</v>
      </c>
      <c r="D38" s="4">
        <f>VLOOKUP(A14,Pivot!$A$21:$G$32,4,0)</f>
        <v>7200</v>
      </c>
      <c r="E38" s="4">
        <f t="shared" si="7"/>
        <v>200</v>
      </c>
      <c r="F38" s="7">
        <f t="shared" si="8"/>
        <v>2.8571428571428571E-2</v>
      </c>
      <c r="G38" s="4" t="str">
        <f t="shared" si="2"/>
        <v>On Track</v>
      </c>
    </row>
    <row r="39" spans="1:7" x14ac:dyDescent="0.35">
      <c r="A39" s="4">
        <f>Pivot!A4</f>
        <v>1</v>
      </c>
      <c r="B39" s="4" t="s">
        <v>2</v>
      </c>
      <c r="C39" s="4">
        <f>Pivot!E4</f>
        <v>4000</v>
      </c>
      <c r="D39" s="4">
        <f>VLOOKUP(A3,Pivot!$A$21:$G$32,5,0)</f>
        <v>3200</v>
      </c>
      <c r="E39" s="4">
        <f t="shared" si="7"/>
        <v>-800</v>
      </c>
      <c r="F39" s="7">
        <f t="shared" si="8"/>
        <v>-0.2</v>
      </c>
      <c r="G39" s="4" t="str">
        <f t="shared" si="2"/>
        <v>Under Budget</v>
      </c>
    </row>
    <row r="40" spans="1:7" x14ac:dyDescent="0.35">
      <c r="A40" s="4">
        <f>Pivot!A5</f>
        <v>2</v>
      </c>
      <c r="B40" s="4" t="s">
        <v>2</v>
      </c>
      <c r="C40" s="4">
        <f>Pivot!E5</f>
        <v>4000</v>
      </c>
      <c r="D40" s="4">
        <f>VLOOKUP(A4,Pivot!$A$21:$G$32,5,0)</f>
        <v>2300</v>
      </c>
      <c r="E40" s="4">
        <f t="shared" si="7"/>
        <v>-1700</v>
      </c>
      <c r="F40" s="7">
        <f t="shared" si="8"/>
        <v>-0.42499999999999999</v>
      </c>
      <c r="G40" s="4" t="str">
        <f t="shared" si="2"/>
        <v>Under Budget</v>
      </c>
    </row>
    <row r="41" spans="1:7" x14ac:dyDescent="0.35">
      <c r="A41" s="4">
        <f>Pivot!A6</f>
        <v>3</v>
      </c>
      <c r="B41" s="4" t="s">
        <v>2</v>
      </c>
      <c r="C41" s="4">
        <f>Pivot!E6</f>
        <v>4000</v>
      </c>
      <c r="D41" s="4">
        <f>VLOOKUP(A5,Pivot!$A$21:$G$32,5,0)</f>
        <v>5300</v>
      </c>
      <c r="E41" s="4">
        <f t="shared" si="7"/>
        <v>1300</v>
      </c>
      <c r="F41" s="7">
        <f t="shared" si="8"/>
        <v>0.32500000000000001</v>
      </c>
      <c r="G41" s="4" t="str">
        <f t="shared" si="2"/>
        <v>Over Budget</v>
      </c>
    </row>
    <row r="42" spans="1:7" x14ac:dyDescent="0.35">
      <c r="A42" s="4">
        <f>Pivot!A7</f>
        <v>4</v>
      </c>
      <c r="B42" s="4" t="s">
        <v>2</v>
      </c>
      <c r="C42" s="4">
        <f>Pivot!E7</f>
        <v>4000</v>
      </c>
      <c r="D42" s="4">
        <f>VLOOKUP(A6,Pivot!$A$21:$G$32,5,0)</f>
        <v>2200</v>
      </c>
      <c r="E42" s="4">
        <f t="shared" si="7"/>
        <v>-1800</v>
      </c>
      <c r="F42" s="7">
        <f t="shared" si="8"/>
        <v>-0.45</v>
      </c>
      <c r="G42" s="4" t="str">
        <f t="shared" si="2"/>
        <v>Under Budget</v>
      </c>
    </row>
    <row r="43" spans="1:7" x14ac:dyDescent="0.35">
      <c r="A43" s="4">
        <f>Pivot!A8</f>
        <v>5</v>
      </c>
      <c r="B43" s="4" t="s">
        <v>2</v>
      </c>
      <c r="C43" s="4">
        <f>Pivot!E8</f>
        <v>4000</v>
      </c>
      <c r="D43" s="4">
        <f>VLOOKUP(A7,Pivot!$A$21:$G$32,5,0)</f>
        <v>1200</v>
      </c>
      <c r="E43" s="4">
        <f t="shared" si="7"/>
        <v>-2800</v>
      </c>
      <c r="F43" s="7">
        <f t="shared" si="8"/>
        <v>-0.7</v>
      </c>
      <c r="G43" s="4" t="str">
        <f t="shared" si="2"/>
        <v>Under Budget</v>
      </c>
    </row>
    <row r="44" spans="1:7" x14ac:dyDescent="0.35">
      <c r="A44" s="4">
        <f>Pivot!A9</f>
        <v>6</v>
      </c>
      <c r="B44" s="4" t="s">
        <v>2</v>
      </c>
      <c r="C44" s="4">
        <f>Pivot!E9</f>
        <v>4000</v>
      </c>
      <c r="D44" s="4">
        <f>VLOOKUP(A8,Pivot!$A$21:$G$32,5,0)</f>
        <v>4200</v>
      </c>
      <c r="E44" s="4">
        <f t="shared" si="7"/>
        <v>200</v>
      </c>
      <c r="F44" s="7">
        <f t="shared" si="8"/>
        <v>0.05</v>
      </c>
      <c r="G44" s="4" t="str">
        <f t="shared" si="2"/>
        <v>On Track</v>
      </c>
    </row>
    <row r="45" spans="1:7" x14ac:dyDescent="0.35">
      <c r="A45" s="4">
        <f>Pivot!A10</f>
        <v>7</v>
      </c>
      <c r="B45" s="4" t="s">
        <v>2</v>
      </c>
      <c r="C45" s="4">
        <f>Pivot!E10</f>
        <v>4000</v>
      </c>
      <c r="D45" s="4">
        <f>VLOOKUP(A9,Pivot!$A$21:$G$32,5,0)</f>
        <v>2900</v>
      </c>
      <c r="E45" s="4">
        <f t="shared" si="7"/>
        <v>-1100</v>
      </c>
      <c r="F45" s="7">
        <f t="shared" si="8"/>
        <v>-0.27500000000000002</v>
      </c>
      <c r="G45" s="4" t="str">
        <f t="shared" si="2"/>
        <v>Under Budget</v>
      </c>
    </row>
    <row r="46" spans="1:7" x14ac:dyDescent="0.35">
      <c r="A46" s="4">
        <f>Pivot!A11</f>
        <v>8</v>
      </c>
      <c r="B46" s="4" t="s">
        <v>2</v>
      </c>
      <c r="C46" s="4">
        <f>Pivot!E11</f>
        <v>4000</v>
      </c>
      <c r="D46" s="4">
        <f>VLOOKUP(A10,Pivot!$A$21:$G$32,5,0)</f>
        <v>4300</v>
      </c>
      <c r="E46" s="4">
        <f t="shared" si="7"/>
        <v>300</v>
      </c>
      <c r="F46" s="7">
        <f t="shared" si="8"/>
        <v>7.4999999999999997E-2</v>
      </c>
      <c r="G46" s="4" t="str">
        <f t="shared" si="2"/>
        <v>On Track</v>
      </c>
    </row>
    <row r="47" spans="1:7" x14ac:dyDescent="0.35">
      <c r="A47" s="4">
        <f>Pivot!A12</f>
        <v>9</v>
      </c>
      <c r="B47" s="4" t="s">
        <v>2</v>
      </c>
      <c r="C47" s="4">
        <f>Pivot!E12</f>
        <v>4000</v>
      </c>
      <c r="D47" s="4">
        <f>VLOOKUP(A11,Pivot!$A$21:$G$32,5,0)</f>
        <v>2700</v>
      </c>
      <c r="E47" s="4">
        <f t="shared" si="7"/>
        <v>-1300</v>
      </c>
      <c r="F47" s="7">
        <f t="shared" si="8"/>
        <v>-0.32500000000000001</v>
      </c>
      <c r="G47" s="4" t="str">
        <f t="shared" si="2"/>
        <v>Under Budget</v>
      </c>
    </row>
    <row r="48" spans="1:7" x14ac:dyDescent="0.35">
      <c r="A48" s="4">
        <f>Pivot!A13</f>
        <v>10</v>
      </c>
      <c r="B48" s="4" t="s">
        <v>2</v>
      </c>
      <c r="C48" s="4">
        <f>Pivot!E13</f>
        <v>4000</v>
      </c>
      <c r="D48" s="4">
        <f>VLOOKUP(A12,Pivot!$A$21:$G$32,5,0)</f>
        <v>3700</v>
      </c>
      <c r="E48" s="4">
        <f t="shared" si="7"/>
        <v>-300</v>
      </c>
      <c r="F48" s="7">
        <f t="shared" si="8"/>
        <v>-7.4999999999999997E-2</v>
      </c>
      <c r="G48" s="4" t="str">
        <f t="shared" si="2"/>
        <v>On Track</v>
      </c>
    </row>
    <row r="49" spans="1:7" x14ac:dyDescent="0.35">
      <c r="A49" s="4">
        <f>Pivot!A14</f>
        <v>11</v>
      </c>
      <c r="B49" s="4" t="s">
        <v>2</v>
      </c>
      <c r="C49" s="4">
        <f>Pivot!E14</f>
        <v>4000</v>
      </c>
      <c r="D49" s="4">
        <f>VLOOKUP(A13,Pivot!$A$21:$G$32,5,0)</f>
        <v>4500</v>
      </c>
      <c r="E49" s="4">
        <f t="shared" si="7"/>
        <v>500</v>
      </c>
      <c r="F49" s="7">
        <f t="shared" si="8"/>
        <v>0.125</v>
      </c>
      <c r="G49" s="4" t="str">
        <f t="shared" si="2"/>
        <v>Over Budget</v>
      </c>
    </row>
    <row r="50" spans="1:7" x14ac:dyDescent="0.35">
      <c r="A50" s="4">
        <f>Pivot!A15</f>
        <v>12</v>
      </c>
      <c r="B50" s="4" t="s">
        <v>2</v>
      </c>
      <c r="C50" s="4">
        <f>Pivot!E15</f>
        <v>4000</v>
      </c>
      <c r="D50" s="4">
        <f>VLOOKUP(A14,Pivot!$A$21:$G$32,5,0)</f>
        <v>4800</v>
      </c>
      <c r="E50" s="4">
        <f t="shared" si="7"/>
        <v>800</v>
      </c>
      <c r="F50" s="7">
        <f t="shared" si="8"/>
        <v>0.2</v>
      </c>
      <c r="G50" s="4" t="str">
        <f t="shared" si="2"/>
        <v>Over Budget</v>
      </c>
    </row>
    <row r="51" spans="1:7" x14ac:dyDescent="0.35">
      <c r="A51" s="4">
        <f>Pivot!A4</f>
        <v>1</v>
      </c>
      <c r="B51" s="4" t="s">
        <v>4</v>
      </c>
      <c r="C51" s="4">
        <f>Pivot!F4</f>
        <v>6000</v>
      </c>
      <c r="D51" s="4">
        <f>VLOOKUP(A3,Pivot!$A$21:$G$32,6,0)</f>
        <v>5500</v>
      </c>
      <c r="E51" s="4">
        <f t="shared" si="7"/>
        <v>-500</v>
      </c>
      <c r="F51" s="7">
        <f t="shared" si="8"/>
        <v>-8.3333333333333329E-2</v>
      </c>
      <c r="G51" s="4" t="str">
        <f t="shared" si="2"/>
        <v>On Track</v>
      </c>
    </row>
    <row r="52" spans="1:7" x14ac:dyDescent="0.35">
      <c r="A52" s="4">
        <f>Pivot!A5</f>
        <v>2</v>
      </c>
      <c r="B52" s="4" t="s">
        <v>4</v>
      </c>
      <c r="C52" s="4">
        <f>Pivot!F5</f>
        <v>6000</v>
      </c>
      <c r="D52" s="4">
        <f>VLOOKUP(A4,Pivot!$A$21:$G$32,6,0)</f>
        <v>6500</v>
      </c>
      <c r="E52" s="4">
        <f t="shared" si="7"/>
        <v>500</v>
      </c>
      <c r="F52" s="7">
        <f t="shared" si="8"/>
        <v>8.3333333333333329E-2</v>
      </c>
      <c r="G52" s="4" t="str">
        <f t="shared" si="2"/>
        <v>On Track</v>
      </c>
    </row>
    <row r="53" spans="1:7" x14ac:dyDescent="0.35">
      <c r="A53" s="4">
        <f>Pivot!A6</f>
        <v>3</v>
      </c>
      <c r="B53" s="4" t="s">
        <v>4</v>
      </c>
      <c r="C53" s="4">
        <f>Pivot!F6</f>
        <v>6000</v>
      </c>
      <c r="D53" s="4">
        <f>VLOOKUP(A5,Pivot!$A$21:$G$32,6,0)</f>
        <v>0</v>
      </c>
      <c r="E53" s="4">
        <f t="shared" si="7"/>
        <v>-6000</v>
      </c>
      <c r="F53" s="7">
        <f t="shared" si="8"/>
        <v>-1</v>
      </c>
      <c r="G53" s="4" t="str">
        <f t="shared" si="2"/>
        <v>Under Budget</v>
      </c>
    </row>
    <row r="54" spans="1:7" x14ac:dyDescent="0.35">
      <c r="A54" s="4">
        <f>Pivot!A7</f>
        <v>4</v>
      </c>
      <c r="B54" s="4" t="s">
        <v>4</v>
      </c>
      <c r="C54" s="4">
        <f>Pivot!F7</f>
        <v>6000</v>
      </c>
      <c r="D54" s="4">
        <f>VLOOKUP(A6,Pivot!$A$21:$G$32,6,0)</f>
        <v>4000</v>
      </c>
      <c r="E54" s="4">
        <f t="shared" si="7"/>
        <v>-2000</v>
      </c>
      <c r="F54" s="7">
        <f t="shared" si="8"/>
        <v>-0.33333333333333331</v>
      </c>
      <c r="G54" s="4" t="str">
        <f t="shared" si="2"/>
        <v>Under Budget</v>
      </c>
    </row>
    <row r="55" spans="1:7" x14ac:dyDescent="0.35">
      <c r="A55" s="4">
        <f>Pivot!A8</f>
        <v>5</v>
      </c>
      <c r="B55" s="4" t="s">
        <v>4</v>
      </c>
      <c r="C55" s="4">
        <f>Pivot!F8</f>
        <v>6000</v>
      </c>
      <c r="D55" s="4">
        <f>VLOOKUP(A7,Pivot!$A$21:$G$32,6,0)</f>
        <v>6000</v>
      </c>
      <c r="E55" s="4">
        <f t="shared" si="7"/>
        <v>0</v>
      </c>
      <c r="F55" s="7">
        <f t="shared" si="8"/>
        <v>0</v>
      </c>
      <c r="G55" s="4" t="str">
        <f t="shared" si="2"/>
        <v>On Track</v>
      </c>
    </row>
    <row r="56" spans="1:7" x14ac:dyDescent="0.35">
      <c r="A56" s="4">
        <f>Pivot!A9</f>
        <v>6</v>
      </c>
      <c r="B56" s="4" t="s">
        <v>4</v>
      </c>
      <c r="C56" s="4">
        <f>Pivot!F9</f>
        <v>8000</v>
      </c>
      <c r="D56" s="4">
        <f>VLOOKUP(A8,Pivot!$A$21:$G$32,6,0)</f>
        <v>6500</v>
      </c>
      <c r="E56" s="4">
        <f t="shared" si="7"/>
        <v>-1500</v>
      </c>
      <c r="F56" s="7">
        <f t="shared" si="8"/>
        <v>-0.1875</v>
      </c>
      <c r="G56" s="4" t="str">
        <f t="shared" si="2"/>
        <v>Under Budget</v>
      </c>
    </row>
    <row r="57" spans="1:7" x14ac:dyDescent="0.35">
      <c r="A57" s="4">
        <f>Pivot!A10</f>
        <v>7</v>
      </c>
      <c r="B57" s="4" t="s">
        <v>4</v>
      </c>
      <c r="C57" s="4">
        <f>Pivot!F10</f>
        <v>8000</v>
      </c>
      <c r="D57" s="4">
        <f>VLOOKUP(A9,Pivot!$A$21:$G$32,6,0)</f>
        <v>7500</v>
      </c>
      <c r="E57" s="4">
        <f t="shared" si="7"/>
        <v>-500</v>
      </c>
      <c r="F57" s="7">
        <f t="shared" si="8"/>
        <v>-6.25E-2</v>
      </c>
      <c r="G57" s="4" t="str">
        <f t="shared" si="2"/>
        <v>On Track</v>
      </c>
    </row>
    <row r="58" spans="1:7" x14ac:dyDescent="0.35">
      <c r="A58" s="4">
        <f>Pivot!A11</f>
        <v>8</v>
      </c>
      <c r="B58" s="4" t="s">
        <v>4</v>
      </c>
      <c r="C58" s="4">
        <f>Pivot!F11</f>
        <v>8000</v>
      </c>
      <c r="D58" s="4">
        <f>VLOOKUP(A10,Pivot!$A$21:$G$32,6,0)</f>
        <v>6000</v>
      </c>
      <c r="E58" s="4">
        <f t="shared" si="7"/>
        <v>-2000</v>
      </c>
      <c r="F58" s="7">
        <f t="shared" si="8"/>
        <v>-0.25</v>
      </c>
      <c r="G58" s="4" t="str">
        <f t="shared" si="2"/>
        <v>Under Budget</v>
      </c>
    </row>
    <row r="59" spans="1:7" x14ac:dyDescent="0.35">
      <c r="A59" s="4">
        <f>Pivot!A12</f>
        <v>9</v>
      </c>
      <c r="B59" s="4" t="s">
        <v>4</v>
      </c>
      <c r="C59" s="4">
        <f>Pivot!F12</f>
        <v>8000</v>
      </c>
      <c r="D59" s="4">
        <f>VLOOKUP(A11,Pivot!$A$21:$G$32,6,0)</f>
        <v>7000</v>
      </c>
      <c r="E59" s="4">
        <f t="shared" si="7"/>
        <v>-1000</v>
      </c>
      <c r="F59" s="7">
        <f t="shared" si="8"/>
        <v>-0.125</v>
      </c>
      <c r="G59" s="4" t="str">
        <f t="shared" si="2"/>
        <v>Under Budget</v>
      </c>
    </row>
    <row r="60" spans="1:7" x14ac:dyDescent="0.35">
      <c r="A60" s="4">
        <f>Pivot!A13</f>
        <v>10</v>
      </c>
      <c r="B60" s="4" t="s">
        <v>4</v>
      </c>
      <c r="C60" s="4">
        <f>Pivot!F13</f>
        <v>8000</v>
      </c>
      <c r="D60" s="4">
        <f>VLOOKUP(A12,Pivot!$A$21:$G$32,6,0)</f>
        <v>5500</v>
      </c>
      <c r="E60" s="4">
        <f t="shared" si="7"/>
        <v>-2500</v>
      </c>
      <c r="F60" s="7">
        <f t="shared" si="8"/>
        <v>-0.3125</v>
      </c>
      <c r="G60" s="4" t="str">
        <f t="shared" si="2"/>
        <v>Under Budget</v>
      </c>
    </row>
    <row r="61" spans="1:7" x14ac:dyDescent="0.35">
      <c r="A61" s="4">
        <f>Pivot!A14</f>
        <v>11</v>
      </c>
      <c r="B61" s="4" t="s">
        <v>4</v>
      </c>
      <c r="C61" s="4">
        <f>Pivot!F14</f>
        <v>8000</v>
      </c>
      <c r="D61" s="4">
        <f>VLOOKUP(A13,Pivot!$A$21:$G$32,6,0)</f>
        <v>6000</v>
      </c>
      <c r="E61" s="4">
        <f t="shared" si="7"/>
        <v>-2000</v>
      </c>
      <c r="F61" s="7">
        <f t="shared" si="8"/>
        <v>-0.25</v>
      </c>
      <c r="G61" s="4" t="str">
        <f t="shared" si="2"/>
        <v>Under Budget</v>
      </c>
    </row>
    <row r="62" spans="1:7" x14ac:dyDescent="0.35">
      <c r="A62" s="4">
        <f>Pivot!A15</f>
        <v>12</v>
      </c>
      <c r="B62" s="4" t="s">
        <v>4</v>
      </c>
      <c r="C62" s="4">
        <f>Pivot!F15</f>
        <v>8000</v>
      </c>
      <c r="D62" s="4">
        <f>VLOOKUP(A14,Pivot!$A$21:$G$32,6,0)</f>
        <v>7500</v>
      </c>
      <c r="E62" s="4">
        <f t="shared" si="7"/>
        <v>-500</v>
      </c>
      <c r="F62" s="7">
        <f t="shared" si="8"/>
        <v>-6.25E-2</v>
      </c>
      <c r="G62" s="4" t="str">
        <f t="shared" si="2"/>
        <v>On Track</v>
      </c>
    </row>
    <row r="63" spans="1:7" x14ac:dyDescent="0.35">
      <c r="A63" s="4">
        <f>Pivot!A4</f>
        <v>1</v>
      </c>
      <c r="B63" s="4" t="s">
        <v>5</v>
      </c>
      <c r="C63" s="4">
        <f>Pivot!G4</f>
        <v>4000</v>
      </c>
      <c r="D63" s="4">
        <f>VLOOKUP(A3,Pivot!$A$21:$G$32,7,0)</f>
        <v>3200</v>
      </c>
      <c r="E63" s="4">
        <f t="shared" si="7"/>
        <v>-800</v>
      </c>
      <c r="F63" s="7">
        <f t="shared" si="8"/>
        <v>-0.2</v>
      </c>
      <c r="G63" s="4" t="str">
        <f t="shared" si="2"/>
        <v>Under Budget</v>
      </c>
    </row>
    <row r="64" spans="1:7" x14ac:dyDescent="0.35">
      <c r="A64" s="4">
        <f>Pivot!A5</f>
        <v>2</v>
      </c>
      <c r="B64" s="4" t="s">
        <v>5</v>
      </c>
      <c r="C64" s="4">
        <f>Pivot!G5</f>
        <v>4000</v>
      </c>
      <c r="D64" s="4">
        <f>VLOOKUP(A4,Pivot!$A$21:$G$32,7,0)</f>
        <v>2800</v>
      </c>
      <c r="E64" s="4">
        <f t="shared" si="7"/>
        <v>-1200</v>
      </c>
      <c r="F64" s="7">
        <f t="shared" si="8"/>
        <v>-0.3</v>
      </c>
      <c r="G64" s="4" t="str">
        <f t="shared" si="2"/>
        <v>Under Budget</v>
      </c>
    </row>
    <row r="65" spans="1:7" x14ac:dyDescent="0.35">
      <c r="A65" s="4">
        <f>Pivot!A6</f>
        <v>3</v>
      </c>
      <c r="B65" s="4" t="s">
        <v>5</v>
      </c>
      <c r="C65" s="4">
        <f>Pivot!G6</f>
        <v>4000</v>
      </c>
      <c r="D65" s="4">
        <f>VLOOKUP(A5,Pivot!$A$21:$G$32,7,0)</f>
        <v>7800</v>
      </c>
      <c r="E65" s="4">
        <f t="shared" si="7"/>
        <v>3800</v>
      </c>
      <c r="F65" s="7">
        <f t="shared" si="8"/>
        <v>0.95</v>
      </c>
      <c r="G65" s="4" t="str">
        <f t="shared" si="2"/>
        <v>Over Budget</v>
      </c>
    </row>
    <row r="66" spans="1:7" x14ac:dyDescent="0.35">
      <c r="A66" s="4">
        <f>Pivot!A7</f>
        <v>4</v>
      </c>
      <c r="B66" s="4" t="s">
        <v>5</v>
      </c>
      <c r="C66" s="4">
        <f>Pivot!G7</f>
        <v>4000</v>
      </c>
      <c r="D66" s="4">
        <f>VLOOKUP(A6,Pivot!$A$21:$G$32,7,0)</f>
        <v>5700</v>
      </c>
      <c r="E66" s="4">
        <f t="shared" si="7"/>
        <v>1700</v>
      </c>
      <c r="F66" s="7">
        <f t="shared" si="8"/>
        <v>0.42499999999999999</v>
      </c>
      <c r="G66" s="4" t="str">
        <f t="shared" si="2"/>
        <v>Over Budget</v>
      </c>
    </row>
    <row r="67" spans="1:7" x14ac:dyDescent="0.35">
      <c r="A67" s="4">
        <f>Pivot!A8</f>
        <v>5</v>
      </c>
      <c r="B67" s="4" t="s">
        <v>5</v>
      </c>
      <c r="C67" s="4">
        <f>Pivot!G8</f>
        <v>4000</v>
      </c>
      <c r="D67" s="4">
        <f>VLOOKUP(A7,Pivot!$A$21:$G$32,7,0)</f>
        <v>4600</v>
      </c>
      <c r="E67" s="4">
        <f t="shared" si="7"/>
        <v>600</v>
      </c>
      <c r="F67" s="7">
        <f t="shared" si="8"/>
        <v>0.15</v>
      </c>
      <c r="G67" s="4" t="str">
        <f t="shared" si="2"/>
        <v>Over Budget</v>
      </c>
    </row>
    <row r="68" spans="1:7" x14ac:dyDescent="0.35">
      <c r="A68" s="4">
        <f>Pivot!A9</f>
        <v>6</v>
      </c>
      <c r="B68" s="4" t="s">
        <v>5</v>
      </c>
      <c r="C68" s="4">
        <f>Pivot!G9</f>
        <v>4000</v>
      </c>
      <c r="D68" s="4">
        <f>VLOOKUP(A8,Pivot!$A$21:$G$32,7,0)</f>
        <v>5500</v>
      </c>
      <c r="E68" s="4">
        <f t="shared" si="7"/>
        <v>1500</v>
      </c>
      <c r="F68" s="7">
        <f t="shared" si="8"/>
        <v>0.375</v>
      </c>
      <c r="G68" s="4" t="str">
        <f t="shared" ref="G68:G74" si="9">IF(F68&gt;0.1,"Over Budget",IF(F68&lt;-0.1,"Under Budget","On Track"))</f>
        <v>Over Budget</v>
      </c>
    </row>
    <row r="69" spans="1:7" x14ac:dyDescent="0.35">
      <c r="A69" s="4">
        <f>Pivot!A10</f>
        <v>7</v>
      </c>
      <c r="B69" s="4" t="s">
        <v>5</v>
      </c>
      <c r="C69" s="4">
        <f>Pivot!G10</f>
        <v>4000</v>
      </c>
      <c r="D69" s="4">
        <f>VLOOKUP(A9,Pivot!$A$21:$G$32,7,0)</f>
        <v>4000</v>
      </c>
      <c r="E69" s="4">
        <f t="shared" si="7"/>
        <v>0</v>
      </c>
      <c r="F69" s="7">
        <f t="shared" si="8"/>
        <v>0</v>
      </c>
      <c r="G69" s="4" t="str">
        <f t="shared" si="9"/>
        <v>On Track</v>
      </c>
    </row>
    <row r="70" spans="1:7" x14ac:dyDescent="0.35">
      <c r="A70" s="4">
        <f>Pivot!A11</f>
        <v>8</v>
      </c>
      <c r="B70" s="4" t="s">
        <v>5</v>
      </c>
      <c r="C70" s="4">
        <f>Pivot!G11</f>
        <v>4000</v>
      </c>
      <c r="D70" s="4">
        <f>VLOOKUP(A10,Pivot!$A$21:$G$32,7,0)</f>
        <v>3100</v>
      </c>
      <c r="E70" s="4">
        <f t="shared" si="7"/>
        <v>-900</v>
      </c>
      <c r="F70" s="7">
        <f t="shared" si="8"/>
        <v>-0.22500000000000001</v>
      </c>
      <c r="G70" s="4" t="str">
        <f t="shared" si="9"/>
        <v>Under Budget</v>
      </c>
    </row>
    <row r="71" spans="1:7" x14ac:dyDescent="0.35">
      <c r="A71" s="4">
        <f>Pivot!A12</f>
        <v>9</v>
      </c>
      <c r="B71" s="4" t="s">
        <v>5</v>
      </c>
      <c r="C71" s="4">
        <f>Pivot!G12</f>
        <v>4000</v>
      </c>
      <c r="D71" s="4">
        <f>VLOOKUP(A11,Pivot!$A$21:$G$32,7,0)</f>
        <v>2400</v>
      </c>
      <c r="E71" s="4">
        <f t="shared" si="7"/>
        <v>-1600</v>
      </c>
      <c r="F71" s="7">
        <f t="shared" si="8"/>
        <v>-0.4</v>
      </c>
      <c r="G71" s="4" t="str">
        <f t="shared" si="9"/>
        <v>Under Budget</v>
      </c>
    </row>
    <row r="72" spans="1:7" x14ac:dyDescent="0.35">
      <c r="A72" s="4">
        <f>Pivot!A13</f>
        <v>10</v>
      </c>
      <c r="B72" s="4" t="s">
        <v>5</v>
      </c>
      <c r="C72" s="4">
        <f>Pivot!G13</f>
        <v>4000</v>
      </c>
      <c r="D72" s="4">
        <f>VLOOKUP(A12,Pivot!$A$21:$G$32,7,0)</f>
        <v>1398</v>
      </c>
      <c r="E72" s="4">
        <f t="shared" si="7"/>
        <v>-2602</v>
      </c>
      <c r="F72" s="7">
        <f t="shared" si="8"/>
        <v>-0.65049999999999997</v>
      </c>
      <c r="G72" s="4" t="str">
        <f t="shared" si="9"/>
        <v>Under Budget</v>
      </c>
    </row>
    <row r="73" spans="1:7" x14ac:dyDescent="0.35">
      <c r="A73" s="4">
        <f>Pivot!A14</f>
        <v>11</v>
      </c>
      <c r="B73" s="4" t="s">
        <v>5</v>
      </c>
      <c r="C73" s="4">
        <f>Pivot!G14</f>
        <v>4000</v>
      </c>
      <c r="D73" s="4">
        <f>VLOOKUP(A13,Pivot!$A$21:$G$32,7,0)</f>
        <v>5399</v>
      </c>
      <c r="E73" s="4">
        <f t="shared" si="7"/>
        <v>1399</v>
      </c>
      <c r="F73" s="7">
        <f t="shared" si="8"/>
        <v>0.34975000000000001</v>
      </c>
      <c r="G73" s="4" t="str">
        <f t="shared" si="9"/>
        <v>Over Budget</v>
      </c>
    </row>
    <row r="74" spans="1:7" x14ac:dyDescent="0.35">
      <c r="A74" s="4">
        <f>Pivot!A15</f>
        <v>12</v>
      </c>
      <c r="B74" s="4" t="s">
        <v>5</v>
      </c>
      <c r="C74" s="4">
        <f>Pivot!G15</f>
        <v>4000</v>
      </c>
      <c r="D74" s="4">
        <f>VLOOKUP(A14,Pivot!$A$21:$G$32,7,0)</f>
        <v>4590</v>
      </c>
      <c r="E74" s="4">
        <f t="shared" si="7"/>
        <v>590</v>
      </c>
      <c r="F74" s="7">
        <f t="shared" si="8"/>
        <v>0.14749999999999999</v>
      </c>
      <c r="G74" s="4" t="str">
        <f t="shared" si="9"/>
        <v>Over Budget</v>
      </c>
    </row>
    <row r="77" spans="1:7" x14ac:dyDescent="0.35">
      <c r="A77" s="4" t="s">
        <v>13</v>
      </c>
      <c r="B77" s="4" t="s">
        <v>25</v>
      </c>
      <c r="C77" s="4" t="s">
        <v>26</v>
      </c>
      <c r="D77" s="4" t="s">
        <v>27</v>
      </c>
      <c r="E77" s="4" t="s">
        <v>15</v>
      </c>
      <c r="F77" s="4" t="s">
        <v>16</v>
      </c>
    </row>
    <row r="78" spans="1:7" x14ac:dyDescent="0.35">
      <c r="A78" s="4" t="s">
        <v>3</v>
      </c>
      <c r="B78" s="4">
        <f>SUMIF($B$3:$B$74,"Development Costs",$C$3:$C$74)</f>
        <v>1340200</v>
      </c>
      <c r="C78" s="4">
        <f>SUMIF($B$3:$B$74,"Development Costs",$D$3:$D$74)</f>
        <v>1314635</v>
      </c>
      <c r="D78" s="4">
        <f>C78-B78</f>
        <v>-25565</v>
      </c>
      <c r="E78" s="7">
        <f>D78/B78</f>
        <v>-1.907551111774362E-2</v>
      </c>
      <c r="F78" s="4" t="str">
        <f>IF(E78&gt;0.1,"Over Budget",IF(E78&lt;-0.1,"Under Budget","On Track"))</f>
        <v>On Track</v>
      </c>
    </row>
    <row r="79" spans="1:7" x14ac:dyDescent="0.35">
      <c r="A79" s="4" t="s">
        <v>10</v>
      </c>
      <c r="B79" s="4">
        <f>SUMIF($B$3:$B$74,"Operational Costs",$C$3:$C$74)</f>
        <v>165000</v>
      </c>
      <c r="C79" s="4">
        <f>SUMIF($B$3:$B$74,"Operational Costs",$D$3:$D$74)</f>
        <v>174082</v>
      </c>
      <c r="D79" s="4">
        <f t="shared" ref="D79:D83" si="10">C79-B79</f>
        <v>9082</v>
      </c>
      <c r="E79" s="7">
        <f t="shared" ref="E79:E83" si="11">D79/B79</f>
        <v>5.504242424242424E-2</v>
      </c>
      <c r="F79" s="4" t="str">
        <f t="shared" ref="F79:F83" si="12">IF(E79&gt;0.1,"Over Budget",IF(E79&lt;-0.1,"Under Budget","On Track"))</f>
        <v>On Track</v>
      </c>
    </row>
    <row r="80" spans="1:7" x14ac:dyDescent="0.35">
      <c r="A80" s="4" t="s">
        <v>1</v>
      </c>
      <c r="B80" s="4">
        <f>SUMIF($B$3:$B$74,"Marketing Costs",$C$3:$C$74)</f>
        <v>75000</v>
      </c>
      <c r="C80" s="4">
        <f>SUMIF($B$3:$B$74,"Marketing Costs",$D$3:$D$74)</f>
        <v>69676</v>
      </c>
      <c r="D80" s="4">
        <f t="shared" si="10"/>
        <v>-5324</v>
      </c>
      <c r="E80" s="7">
        <f t="shared" si="11"/>
        <v>-7.098666666666667E-2</v>
      </c>
      <c r="F80" s="4" t="str">
        <f t="shared" si="12"/>
        <v>On Track</v>
      </c>
    </row>
    <row r="81" spans="1:6" x14ac:dyDescent="0.35">
      <c r="A81" s="4" t="s">
        <v>2</v>
      </c>
      <c r="B81" s="4">
        <f>SUMIF($B$3:$B$74,"Travelling Cost",$C$3:$C$74)</f>
        <v>48000</v>
      </c>
      <c r="C81" s="4">
        <f>SUMIF($B$3:$B$74,"Travelling Cost",$D$3:$D$74)</f>
        <v>41300</v>
      </c>
      <c r="D81" s="4">
        <f t="shared" si="10"/>
        <v>-6700</v>
      </c>
      <c r="E81" s="7">
        <f t="shared" si="11"/>
        <v>-0.13958333333333334</v>
      </c>
      <c r="F81" s="4" t="str">
        <f t="shared" si="12"/>
        <v>Under Budget</v>
      </c>
    </row>
    <row r="82" spans="1:6" x14ac:dyDescent="0.35">
      <c r="A82" s="4" t="s">
        <v>4</v>
      </c>
      <c r="B82" s="4">
        <f>SUMIF($B$3:$B$74,"Training Cost",$C$3:$C$74)</f>
        <v>86000</v>
      </c>
      <c r="C82" s="4">
        <f>SUMIF($B$3:$B$74,"Training Cost",$D$3:$D$74)</f>
        <v>68000</v>
      </c>
      <c r="D82" s="4">
        <f t="shared" si="10"/>
        <v>-18000</v>
      </c>
      <c r="E82" s="7">
        <f t="shared" si="11"/>
        <v>-0.20930232558139536</v>
      </c>
      <c r="F82" s="4" t="str">
        <f t="shared" si="12"/>
        <v>Under Budget</v>
      </c>
    </row>
    <row r="83" spans="1:6" x14ac:dyDescent="0.35">
      <c r="A83" s="4" t="s">
        <v>5</v>
      </c>
      <c r="B83" s="4">
        <f>SUMIF($B$3:$B$74,"Maintenance Cost",$C$3:$C$74)</f>
        <v>48000</v>
      </c>
      <c r="C83" s="4">
        <f>SUMIF($B$3:$B$74,"Maintenance Cost",$D$3:$D$74)</f>
        <v>50487</v>
      </c>
      <c r="D83" s="4">
        <f t="shared" si="10"/>
        <v>2487</v>
      </c>
      <c r="E83" s="7">
        <f t="shared" si="11"/>
        <v>5.1812499999999997E-2</v>
      </c>
      <c r="F83" s="4" t="str">
        <f t="shared" si="12"/>
        <v>On Track</v>
      </c>
    </row>
    <row r="84" spans="1:6" x14ac:dyDescent="0.35">
      <c r="A84" s="4" t="s">
        <v>28</v>
      </c>
      <c r="B84" s="4">
        <f>SUBTOTAL(109,B78:B83)</f>
        <v>1762200</v>
      </c>
      <c r="C84" s="4">
        <f>SUBTOTAL(109,C78:C83)</f>
        <v>1718180</v>
      </c>
      <c r="D84" s="4">
        <f>C84-B84</f>
        <v>-44020</v>
      </c>
      <c r="E84" s="7">
        <f>D84/B84</f>
        <v>-2.4980138463284531E-2</v>
      </c>
      <c r="F84" s="4" t="str">
        <f>IF(E84&gt;0.1,"Over Budget",IF(E84&lt;-0.1,"Under Budget","On Track"))</f>
        <v>On Track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E0AB-AB09-4822-8738-BF13AECE4658}">
  <dimension ref="B2:M45"/>
  <sheetViews>
    <sheetView tabSelected="1" zoomScale="85" zoomScaleNormal="85" workbookViewId="0">
      <selection activeCell="S38" sqref="S38"/>
    </sheetView>
  </sheetViews>
  <sheetFormatPr defaultRowHeight="13.8" x14ac:dyDescent="0.25"/>
  <cols>
    <col min="1" max="1" width="2.21875" style="4" customWidth="1"/>
    <col min="2" max="13" width="13.33203125" style="4" customWidth="1"/>
    <col min="14" max="14" width="2.21875" style="4" customWidth="1"/>
    <col min="15" max="16384" width="8.88671875" style="4"/>
  </cols>
  <sheetData>
    <row r="2" spans="2:13" ht="21" x14ac:dyDescent="0.4">
      <c r="B2" s="8" t="s">
        <v>29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2:13" ht="15.6" x14ac:dyDescent="0.3">
      <c r="B3" s="9" t="s">
        <v>30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2:13" x14ac:dyDescent="0.25">
      <c r="B5" s="10" t="s">
        <v>31</v>
      </c>
      <c r="C5" s="11"/>
      <c r="D5" s="12"/>
      <c r="E5" s="14" t="s">
        <v>33</v>
      </c>
      <c r="F5" s="14"/>
      <c r="G5" s="14"/>
      <c r="H5" s="14" t="s">
        <v>34</v>
      </c>
      <c r="I5" s="14"/>
      <c r="J5" s="14"/>
      <c r="K5" s="14" t="s">
        <v>36</v>
      </c>
      <c r="L5" s="14"/>
      <c r="M5" s="14"/>
    </row>
    <row r="6" spans="2:13" ht="13.8" customHeight="1" x14ac:dyDescent="0.25">
      <c r="B6" s="13">
        <f>'Budget Analysis'!B84</f>
        <v>1762200</v>
      </c>
      <c r="C6" s="13"/>
      <c r="D6" s="13"/>
      <c r="E6" s="13">
        <f>'Budget Analysis'!C84</f>
        <v>1718180</v>
      </c>
      <c r="F6" s="13"/>
      <c r="G6" s="13"/>
      <c r="H6" s="13">
        <f>'Budget Analysis'!D84</f>
        <v>-44020</v>
      </c>
      <c r="I6" s="13"/>
      <c r="J6" s="13"/>
      <c r="K6" s="15">
        <f>'Budget Analysis'!E84</f>
        <v>-2.4980138463284531E-2</v>
      </c>
      <c r="L6" s="13"/>
      <c r="M6" s="13"/>
    </row>
    <row r="7" spans="2:13" ht="13.8" customHeight="1" x14ac:dyDescent="0.25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2:13" x14ac:dyDescent="0.25">
      <c r="B8" s="16" t="s">
        <v>32</v>
      </c>
      <c r="C8" s="16"/>
      <c r="D8" s="16"/>
      <c r="E8" s="16" t="s">
        <v>32</v>
      </c>
      <c r="F8" s="16"/>
      <c r="G8" s="16"/>
      <c r="H8" s="16" t="s">
        <v>35</v>
      </c>
      <c r="I8" s="16"/>
      <c r="J8" s="16"/>
      <c r="K8" s="16" t="s">
        <v>37</v>
      </c>
      <c r="L8" s="16"/>
      <c r="M8" s="16"/>
    </row>
    <row r="10" spans="2:13" x14ac:dyDescent="0.25">
      <c r="B10" s="17" t="s">
        <v>38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2:13" x14ac:dyDescent="0.25">
      <c r="B11" s="14" t="s">
        <v>13</v>
      </c>
      <c r="C11" s="14"/>
      <c r="D11" s="14" t="s">
        <v>25</v>
      </c>
      <c r="E11" s="14"/>
      <c r="F11" s="14" t="s">
        <v>26</v>
      </c>
      <c r="G11" s="14"/>
      <c r="H11" s="14" t="s">
        <v>14</v>
      </c>
      <c r="I11" s="14"/>
      <c r="J11" s="14" t="s">
        <v>15</v>
      </c>
      <c r="K11" s="14"/>
      <c r="L11" s="14" t="s">
        <v>16</v>
      </c>
      <c r="M11" s="14"/>
    </row>
    <row r="12" spans="2:13" x14ac:dyDescent="0.25">
      <c r="B12" s="19" t="str">
        <f>'Budget Analysis'!A78</f>
        <v>Development Costs</v>
      </c>
      <c r="C12" s="19"/>
      <c r="D12" s="18">
        <f>'Budget Analysis'!B78</f>
        <v>1340200</v>
      </c>
      <c r="E12" s="18"/>
      <c r="F12" s="18">
        <f>'Budget Analysis'!C78</f>
        <v>1314635</v>
      </c>
      <c r="G12" s="18"/>
      <c r="H12" s="18">
        <f>'Budget Analysis'!D78</f>
        <v>-25565</v>
      </c>
      <c r="I12" s="18"/>
      <c r="J12" s="20">
        <f>'Budget Analysis'!E78</f>
        <v>-1.907551111774362E-2</v>
      </c>
      <c r="K12" s="20"/>
      <c r="L12" s="19" t="str">
        <f>'Budget Analysis'!F78</f>
        <v>On Track</v>
      </c>
      <c r="M12" s="19"/>
    </row>
    <row r="13" spans="2:13" x14ac:dyDescent="0.25">
      <c r="B13" s="19" t="str">
        <f>'Budget Analysis'!A79</f>
        <v>Operational Costs</v>
      </c>
      <c r="C13" s="19"/>
      <c r="D13" s="18">
        <f>'Budget Analysis'!B79</f>
        <v>165000</v>
      </c>
      <c r="E13" s="18"/>
      <c r="F13" s="18">
        <f>'Budget Analysis'!C79</f>
        <v>174082</v>
      </c>
      <c r="G13" s="18"/>
      <c r="H13" s="18">
        <f>'Budget Analysis'!D79</f>
        <v>9082</v>
      </c>
      <c r="I13" s="18"/>
      <c r="J13" s="20">
        <f>'Budget Analysis'!E79</f>
        <v>5.504242424242424E-2</v>
      </c>
      <c r="K13" s="20"/>
      <c r="L13" s="19" t="str">
        <f>'Budget Analysis'!F79</f>
        <v>On Track</v>
      </c>
      <c r="M13" s="19"/>
    </row>
    <row r="14" spans="2:13" x14ac:dyDescent="0.25">
      <c r="B14" s="19" t="str">
        <f>'Budget Analysis'!A80</f>
        <v>Marketing Costs</v>
      </c>
      <c r="C14" s="19"/>
      <c r="D14" s="18">
        <f>'Budget Analysis'!B80</f>
        <v>75000</v>
      </c>
      <c r="E14" s="18"/>
      <c r="F14" s="18">
        <f>'Budget Analysis'!C80</f>
        <v>69676</v>
      </c>
      <c r="G14" s="18"/>
      <c r="H14" s="18">
        <f>'Budget Analysis'!D80</f>
        <v>-5324</v>
      </c>
      <c r="I14" s="18"/>
      <c r="J14" s="20">
        <f>'Budget Analysis'!E80</f>
        <v>-7.098666666666667E-2</v>
      </c>
      <c r="K14" s="20"/>
      <c r="L14" s="19" t="str">
        <f>'Budget Analysis'!F80</f>
        <v>On Track</v>
      </c>
      <c r="M14" s="19"/>
    </row>
    <row r="15" spans="2:13" x14ac:dyDescent="0.25">
      <c r="B15" s="19" t="str">
        <f>'Budget Analysis'!A81</f>
        <v>Travelling Cost</v>
      </c>
      <c r="C15" s="19"/>
      <c r="D15" s="18">
        <f>'Budget Analysis'!B81</f>
        <v>48000</v>
      </c>
      <c r="E15" s="18"/>
      <c r="F15" s="18">
        <f>'Budget Analysis'!C81</f>
        <v>41300</v>
      </c>
      <c r="G15" s="18"/>
      <c r="H15" s="18">
        <f>'Budget Analysis'!D81</f>
        <v>-6700</v>
      </c>
      <c r="I15" s="18"/>
      <c r="J15" s="20">
        <f>'Budget Analysis'!E81</f>
        <v>-0.13958333333333334</v>
      </c>
      <c r="K15" s="20"/>
      <c r="L15" s="19" t="str">
        <f>'Budget Analysis'!F81</f>
        <v>Under Budget</v>
      </c>
      <c r="M15" s="19"/>
    </row>
    <row r="16" spans="2:13" x14ac:dyDescent="0.25">
      <c r="B16" s="19" t="str">
        <f>'Budget Analysis'!A82</f>
        <v>Training Cost</v>
      </c>
      <c r="C16" s="19"/>
      <c r="D16" s="18">
        <f>'Budget Analysis'!B82</f>
        <v>86000</v>
      </c>
      <c r="E16" s="18"/>
      <c r="F16" s="18">
        <f>'Budget Analysis'!C82</f>
        <v>68000</v>
      </c>
      <c r="G16" s="18"/>
      <c r="H16" s="18">
        <f>'Budget Analysis'!D82</f>
        <v>-18000</v>
      </c>
      <c r="I16" s="18"/>
      <c r="J16" s="20">
        <f>'Budget Analysis'!E82</f>
        <v>-0.20930232558139536</v>
      </c>
      <c r="K16" s="20"/>
      <c r="L16" s="19" t="str">
        <f>'Budget Analysis'!F82</f>
        <v>Under Budget</v>
      </c>
      <c r="M16" s="19"/>
    </row>
    <row r="17" spans="2:13" x14ac:dyDescent="0.25">
      <c r="B17" s="19" t="str">
        <f>'Budget Analysis'!A83</f>
        <v>Maintenance Cost</v>
      </c>
      <c r="C17" s="19"/>
      <c r="D17" s="18">
        <f>'Budget Analysis'!B83</f>
        <v>48000</v>
      </c>
      <c r="E17" s="18"/>
      <c r="F17" s="18">
        <f>'Budget Analysis'!C83</f>
        <v>50487</v>
      </c>
      <c r="G17" s="18"/>
      <c r="H17" s="18">
        <f>'Budget Analysis'!D83</f>
        <v>2487</v>
      </c>
      <c r="I17" s="18"/>
      <c r="J17" s="20">
        <f>'Budget Analysis'!E83</f>
        <v>5.1812499999999997E-2</v>
      </c>
      <c r="K17" s="20"/>
      <c r="L17" s="19" t="str">
        <f>'Budget Analysis'!F83</f>
        <v>On Track</v>
      </c>
      <c r="M17" s="19"/>
    </row>
    <row r="40" spans="2:13" x14ac:dyDescent="0.25">
      <c r="B40" s="17" t="s">
        <v>39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2:13" ht="15.6" customHeight="1" x14ac:dyDescent="0.25">
      <c r="B41" s="21" t="s">
        <v>40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2:13" ht="15.6" customHeight="1" x14ac:dyDescent="0.25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spans="2:13" x14ac:dyDescent="0.25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5" spans="2:13" ht="14.4" x14ac:dyDescent="0.3">
      <c r="B45" s="22" t="s">
        <v>41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</sheetData>
  <mergeCells count="60">
    <mergeCell ref="B40:M40"/>
    <mergeCell ref="B41:M43"/>
    <mergeCell ref="B45:M45"/>
    <mergeCell ref="B11:C11"/>
    <mergeCell ref="H11:I11"/>
    <mergeCell ref="F11:G11"/>
    <mergeCell ref="D11:E11"/>
    <mergeCell ref="J11:K11"/>
    <mergeCell ref="L11:M11"/>
    <mergeCell ref="L12:M12"/>
    <mergeCell ref="L13:M13"/>
    <mergeCell ref="L14:M14"/>
    <mergeCell ref="L15:M15"/>
    <mergeCell ref="L16:M16"/>
    <mergeCell ref="L17:M17"/>
    <mergeCell ref="J12:K12"/>
    <mergeCell ref="J13:K13"/>
    <mergeCell ref="J14:K14"/>
    <mergeCell ref="J15:K15"/>
    <mergeCell ref="J16:K16"/>
    <mergeCell ref="J17:K17"/>
    <mergeCell ref="H17:I17"/>
    <mergeCell ref="F12:G12"/>
    <mergeCell ref="F13:G13"/>
    <mergeCell ref="F14:G14"/>
    <mergeCell ref="F15:G15"/>
    <mergeCell ref="F16:G16"/>
    <mergeCell ref="F17:G17"/>
    <mergeCell ref="H12:I12"/>
    <mergeCell ref="H13:I13"/>
    <mergeCell ref="H14:I14"/>
    <mergeCell ref="H15:I15"/>
    <mergeCell ref="H16:I16"/>
    <mergeCell ref="D17:E17"/>
    <mergeCell ref="B12:C12"/>
    <mergeCell ref="B13:C13"/>
    <mergeCell ref="B14:C14"/>
    <mergeCell ref="B15:C15"/>
    <mergeCell ref="B16:C16"/>
    <mergeCell ref="B17:C17"/>
    <mergeCell ref="D12:E12"/>
    <mergeCell ref="D13:E13"/>
    <mergeCell ref="D14:E14"/>
    <mergeCell ref="D15:E15"/>
    <mergeCell ref="D16:E16"/>
    <mergeCell ref="K8:M8"/>
    <mergeCell ref="B10:M10"/>
    <mergeCell ref="B8:D8"/>
    <mergeCell ref="E5:G5"/>
    <mergeCell ref="E6:G7"/>
    <mergeCell ref="E8:G8"/>
    <mergeCell ref="H6:J7"/>
    <mergeCell ref="H5:J5"/>
    <mergeCell ref="H8:J8"/>
    <mergeCell ref="B2:M2"/>
    <mergeCell ref="B3:M3"/>
    <mergeCell ref="B5:D5"/>
    <mergeCell ref="B6:D7"/>
    <mergeCell ref="K5:M5"/>
    <mergeCell ref="K6:M7"/>
  </mergeCells>
  <conditionalFormatting sqref="L12:M17">
    <cfRule type="cellIs" dxfId="2" priority="1" operator="equal">
      <formula>"Over Budget"</formula>
    </cfRule>
    <cfRule type="cellIs" dxfId="1" priority="2" operator="equal">
      <formula>"Under Budget"</formula>
    </cfRule>
    <cfRule type="cellIs" dxfId="0" priority="3" operator="equal">
      <formula>"On Track"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 Data</vt:lpstr>
      <vt:lpstr>Pivot</vt:lpstr>
      <vt:lpstr>Budget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2026-09-13T13:06:36Z</dcterms:created>
  <dcterms:modified xsi:type="dcterms:W3CDTF">2026-09-13T13:07:13Z</dcterms:modified>
</cp:coreProperties>
</file>